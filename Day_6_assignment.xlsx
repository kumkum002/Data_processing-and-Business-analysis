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13_ncr:1_{DAD057C9-2474-4A1A-8098-CFF837D192C4}" xr6:coauthVersionLast="47" xr6:coauthVersionMax="47" xr10:uidLastSave="{00000000-0000-0000-0000-000000000000}"/>
  <bookViews>
    <workbookView xWindow="-108" yWindow="-108" windowWidth="23256" windowHeight="12456" xr2:uid="{E801D855-6E70-4C6E-A6F4-DBBAAACA9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M3" i="1"/>
  <c r="M4" i="1"/>
  <c r="M5" i="1"/>
  <c r="M6" i="1"/>
  <c r="M7" i="1"/>
  <c r="M2" i="1"/>
  <c r="H3" i="1"/>
  <c r="H4" i="1"/>
  <c r="H5" i="1"/>
  <c r="H6" i="1"/>
  <c r="H7" i="1"/>
  <c r="H2" i="1"/>
  <c r="J2" i="1"/>
  <c r="I2" i="1"/>
  <c r="G2" i="1"/>
  <c r="F2" i="1"/>
  <c r="S2" i="1"/>
  <c r="U3" i="1"/>
  <c r="U4" i="1"/>
  <c r="U5" i="1"/>
  <c r="U6" i="1"/>
  <c r="U7" i="1"/>
  <c r="U2" i="1"/>
  <c r="S3" i="1"/>
  <c r="S4" i="1"/>
  <c r="S5" i="1"/>
  <c r="S6" i="1"/>
  <c r="S7" i="1"/>
  <c r="K3" i="1"/>
  <c r="K4" i="1"/>
  <c r="K5" i="1"/>
  <c r="K6" i="1"/>
  <c r="K7" i="1"/>
  <c r="K2" i="1"/>
  <c r="J3" i="1"/>
  <c r="J4" i="1"/>
  <c r="J5" i="1"/>
  <c r="J6" i="1"/>
  <c r="J7" i="1"/>
  <c r="I3" i="1"/>
  <c r="I4" i="1"/>
  <c r="I5" i="1"/>
  <c r="I6" i="1"/>
  <c r="I7" i="1"/>
  <c r="G3" i="1"/>
  <c r="G4" i="1"/>
  <c r="G5" i="1"/>
  <c r="G6" i="1"/>
  <c r="G7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<sst xmlns="http://schemas.openxmlformats.org/spreadsheetml/2006/main" count="28" uniqueCount="23">
  <si>
    <t>Product ID</t>
  </si>
  <si>
    <t>Sales</t>
  </si>
  <si>
    <t>Target</t>
  </si>
  <si>
    <t>Region</t>
  </si>
  <si>
    <t>Product  A</t>
  </si>
  <si>
    <t>Product  B</t>
  </si>
  <si>
    <t>Product  C</t>
  </si>
  <si>
    <t>Product  D</t>
  </si>
  <si>
    <t>Product  E</t>
  </si>
  <si>
    <t>Product  F</t>
  </si>
  <si>
    <t>North</t>
  </si>
  <si>
    <t>South</t>
  </si>
  <si>
    <t>East</t>
  </si>
  <si>
    <t>West</t>
  </si>
  <si>
    <t>Eligibility</t>
  </si>
  <si>
    <t>Cmmision Rate</t>
  </si>
  <si>
    <t>Bonus Amount</t>
  </si>
  <si>
    <t>Categorize performance</t>
  </si>
  <si>
    <t>Year-end-bonus</t>
  </si>
  <si>
    <t>Price based on sales value</t>
  </si>
  <si>
    <t>Mark -high-pperformance</t>
  </si>
  <si>
    <t>.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</si>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</sst>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4" borderId="0" xfId="0" applyFont="1" applyFill="1"/>
    <xf numFmtId="0" fontId="1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7D0B-83C4-4BCD-BC23-EEA622AEC78B}">
  <dimension ref="A1:U17"/>
  <sheetViews>
    <sheetView tabSelected="1" zoomScale="102" zoomScaleNormal="55" workbookViewId="0">
      <selection activeCell="K14" sqref="K14"/>
    </sheetView>
  </sheetViews>
  <sheetFormatPr defaultRowHeight="14.4" x14ac:dyDescent="0.3"/>
  <cols>
    <col min="1" max="2" width="9.33203125" bestFit="1" customWidth="1"/>
    <col min="7" max="7" width="10.5546875" bestFit="1" customWidth="1"/>
    <col min="8" max="8" width="14.109375" bestFit="1" customWidth="1"/>
    <col min="9" max="9" width="13.5546875" bestFit="1" customWidth="1"/>
    <col min="10" max="10" width="21.77734375" bestFit="1" customWidth="1"/>
    <col min="11" max="11" width="23.5546875" bestFit="1" customWidth="1"/>
    <col min="12" max="12" width="14.77734375" bestFit="1" customWidth="1"/>
    <col min="13" max="13" width="13.5546875" bestFit="1" customWidth="1"/>
    <col min="15" max="15" width="20.5546875" bestFit="1" customWidth="1"/>
    <col min="17" max="17" width="22.21875" bestFit="1" customWidth="1"/>
    <col min="19" max="19" width="22.21875" bestFit="1" customWidth="1"/>
    <col min="21" max="21" width="22.44140625" bestFit="1" customWidth="1"/>
  </cols>
  <sheetData>
    <row r="1" spans="1:21" x14ac:dyDescent="0.3">
      <c r="A1" s="5" t="s">
        <v>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19</v>
      </c>
      <c r="L1" s="7" t="s">
        <v>18</v>
      </c>
      <c r="M1" s="6" t="s">
        <v>22</v>
      </c>
      <c r="N1" s="2"/>
      <c r="P1" s="2"/>
      <c r="R1" s="2"/>
      <c r="S1" s="2" t="s">
        <v>18</v>
      </c>
      <c r="T1" s="2"/>
      <c r="U1" s="2" t="s">
        <v>20</v>
      </c>
    </row>
    <row r="2" spans="1:21" x14ac:dyDescent="0.3">
      <c r="A2" s="3">
        <v>101</v>
      </c>
      <c r="B2" s="3" t="s">
        <v>4</v>
      </c>
      <c r="C2" s="3">
        <v>120</v>
      </c>
      <c r="D2" s="3">
        <v>150</v>
      </c>
      <c r="E2" s="3" t="s">
        <v>10</v>
      </c>
      <c r="F2" s="4" t="str">
        <f>IF(C2&gt;=D2,"Met","Not Met")</f>
        <v>Not Met</v>
      </c>
      <c r="G2" s="4" t="str">
        <f>IF(AND(E2="North", C2&gt;200),"Eligible","Not Eligible")</f>
        <v>Not Eligible</v>
      </c>
      <c r="H2" s="4" t="str">
        <f>IF(C2&gt;=200,"10%",IF(C2&gt;=150,"7%","5%"))</f>
        <v>5%</v>
      </c>
      <c r="I2" s="4">
        <f>IF(C2&gt;D2, C2*0.1, C2*0.05)</f>
        <v>6</v>
      </c>
      <c r="J2" s="4" t="str">
        <f>IF(C2&gt;=200,"Excellent",IF(C2&gt;150,"Good","Needs Improvement"))</f>
        <v>Needs Improvement</v>
      </c>
      <c r="K2" s="4" t="str">
        <f>IF(C2&gt;200,"High",IF(C2&gt;=100,"Medium","Low"))</f>
        <v>Medium</v>
      </c>
      <c r="L2" s="4">
        <f>IF(AND(C2&gt;=150, E2="North"),500,300)</f>
        <v>300</v>
      </c>
      <c r="M2" s="4" t="str">
        <f>IF(C2&gt;=PERCENTILE($C$2:$C$7,0.75),"High performer","Low performer")</f>
        <v>Low performer</v>
      </c>
      <c r="N2" s="1"/>
      <c r="P2" s="1"/>
      <c r="R2" s="1"/>
      <c r="S2" s="1">
        <f>IF(AND(C2&gt;=150, E2="North"),500,300)</f>
        <v>300</v>
      </c>
      <c r="T2" s="1"/>
      <c r="U2" s="1">
        <f>PERCENTILE(C2:C7,0.75)</f>
        <v>187.5</v>
      </c>
    </row>
    <row r="3" spans="1:21" x14ac:dyDescent="0.3">
      <c r="A3" s="3">
        <v>102</v>
      </c>
      <c r="B3" s="3" t="s">
        <v>5</v>
      </c>
      <c r="C3" s="3">
        <v>150</v>
      </c>
      <c r="D3" s="3">
        <v>140</v>
      </c>
      <c r="E3" s="3" t="s">
        <v>11</v>
      </c>
      <c r="F3" s="4" t="str">
        <f>IF(C3&gt;=D3,"Met","Not Met")</f>
        <v>Met</v>
      </c>
      <c r="G3" s="4" t="str">
        <f>IF(AND(E3="North", C3&gt;200),"Eligible","Not Eligible")</f>
        <v>Not Eligible</v>
      </c>
      <c r="H3" s="4" t="str">
        <f t="shared" ref="H3:H7" si="0">IF(C3&gt;=200,"10%",IF(C3&gt;=150,"7%","5%"))</f>
        <v>7%</v>
      </c>
      <c r="I3" s="4">
        <f>IF(C3&gt;D3, C3*0.1, C3*0.05)</f>
        <v>15</v>
      </c>
      <c r="J3" s="4" t="str">
        <f>IF(C3&gt;=200,"Excellent",IF(C3&gt;150,"Good","Needs Improvement"))</f>
        <v>Needs Improvement</v>
      </c>
      <c r="K3" s="4" t="str">
        <f>IF(C3&gt;200,"High",IF(C3&gt;=100,"Medium","Low"))</f>
        <v>Medium</v>
      </c>
      <c r="L3" s="4">
        <f t="shared" ref="L3:L7" si="1">IF(AND(C3&gt;=150, E3="North"),500,300)</f>
        <v>300</v>
      </c>
      <c r="M3" s="4" t="str">
        <f>IF(C3&gt;=PERCENTILE($C$2:$C$7,0.75),"High performer","Low performer")</f>
        <v>Low performer</v>
      </c>
      <c r="N3" s="1"/>
      <c r="P3" s="1"/>
      <c r="R3" s="1"/>
      <c r="S3" s="1">
        <f t="shared" ref="S3:S7" si="2">IF(AND(C3&gt;=150, E3="North"),500,300)</f>
        <v>300</v>
      </c>
      <c r="T3" s="1"/>
      <c r="U3" s="1">
        <f t="shared" ref="U3:U7" si="3">PERCENTILE(C3:C8,0.75)</f>
        <v>200</v>
      </c>
    </row>
    <row r="4" spans="1:21" x14ac:dyDescent="0.3">
      <c r="A4" s="3">
        <v>103</v>
      </c>
      <c r="B4" s="3" t="s">
        <v>6</v>
      </c>
      <c r="C4" s="3">
        <v>200</v>
      </c>
      <c r="D4" s="3">
        <v>200</v>
      </c>
      <c r="E4" s="3" t="s">
        <v>12</v>
      </c>
      <c r="F4" s="4" t="str">
        <f>IF(C4&gt;=D4,"Met","Not Met")</f>
        <v>Met</v>
      </c>
      <c r="G4" s="4" t="str">
        <f>IF(AND(E4="North", C4&gt;200),"Eligible","Not Eligible")</f>
        <v>Not Eligible</v>
      </c>
      <c r="H4" s="4" t="str">
        <f t="shared" si="0"/>
        <v>10%</v>
      </c>
      <c r="I4" s="4">
        <f>IF(C4&gt;D4, C4*0.1, C4*0.05)</f>
        <v>10</v>
      </c>
      <c r="J4" s="4" t="str">
        <f>IF(C4&gt;=200,"Excellent",IF(C4&gt;150,"Good","Needs Improvement"))</f>
        <v>Excellent</v>
      </c>
      <c r="K4" s="4" t="str">
        <f>IF(C4&gt;200,"High",IF(C4&gt;=100,"Medium","Low"))</f>
        <v>Medium</v>
      </c>
      <c r="L4" s="4">
        <f t="shared" si="1"/>
        <v>300</v>
      </c>
      <c r="M4" s="4" t="str">
        <f>IF(C4&gt;=PERCENTILE($C$2:$C$7,0.75),"High performer","Low performer")</f>
        <v>High performer</v>
      </c>
      <c r="N4" s="1"/>
      <c r="P4" s="1"/>
      <c r="R4" s="1"/>
      <c r="S4" s="1">
        <f t="shared" si="2"/>
        <v>300</v>
      </c>
      <c r="T4" s="1"/>
      <c r="U4" s="1">
        <f t="shared" si="3"/>
        <v>205</v>
      </c>
    </row>
    <row r="5" spans="1:21" x14ac:dyDescent="0.3">
      <c r="A5" s="3">
        <v>104</v>
      </c>
      <c r="B5" s="3" t="s">
        <v>7</v>
      </c>
      <c r="C5" s="3">
        <v>90</v>
      </c>
      <c r="D5" s="3">
        <v>100</v>
      </c>
      <c r="E5" s="3" t="s">
        <v>13</v>
      </c>
      <c r="F5" s="4" t="str">
        <f>IF(C5&gt;=D5,"Met","Not Met")</f>
        <v>Not Met</v>
      </c>
      <c r="G5" s="4" t="str">
        <f>IF(AND(E5="North", C5&gt;200),"Eligible","Not Eligible")</f>
        <v>Not Eligible</v>
      </c>
      <c r="H5" s="4" t="str">
        <f t="shared" si="0"/>
        <v>5%</v>
      </c>
      <c r="I5" s="4">
        <f>IF(C5&gt;D5, C5*0.1, C5*0.05)</f>
        <v>4.5</v>
      </c>
      <c r="J5" s="4" t="str">
        <f>IF(C5&gt;=200,"Excellent",IF(C5&gt;150,"Good","Needs Improvement"))</f>
        <v>Needs Improvement</v>
      </c>
      <c r="K5" s="4" t="str">
        <f>IF(C5&gt;200,"High",IF(C5&gt;=100,"Medium","Low"))</f>
        <v>Low</v>
      </c>
      <c r="L5" s="4">
        <f t="shared" si="1"/>
        <v>300</v>
      </c>
      <c r="M5" s="4" t="str">
        <f>IF(C5&gt;=PERCENTILE($C$2:$C$7,0.75),"High performer","Low performer")</f>
        <v>Low performer</v>
      </c>
      <c r="N5" s="1"/>
      <c r="P5" s="1"/>
      <c r="R5" s="1"/>
      <c r="S5" s="1">
        <f t="shared" si="2"/>
        <v>300</v>
      </c>
      <c r="T5" s="1"/>
      <c r="U5" s="1">
        <f t="shared" si="3"/>
        <v>175</v>
      </c>
    </row>
    <row r="6" spans="1:21" x14ac:dyDescent="0.3">
      <c r="A6" s="3">
        <v>105</v>
      </c>
      <c r="B6" s="3" t="s">
        <v>8</v>
      </c>
      <c r="C6" s="3">
        <v>220</v>
      </c>
      <c r="D6" s="3">
        <v>210</v>
      </c>
      <c r="E6" s="3" t="s">
        <v>10</v>
      </c>
      <c r="F6" s="4" t="str">
        <f>IF(C6&gt;=D6,"Met","Not Met")</f>
        <v>Met</v>
      </c>
      <c r="G6" s="4" t="str">
        <f>IF(AND(E6="North", C6&gt;200),"Eligible","Not Eligible")</f>
        <v>Eligible</v>
      </c>
      <c r="H6" s="4" t="str">
        <f t="shared" si="0"/>
        <v>10%</v>
      </c>
      <c r="I6" s="4">
        <f>IF(C6&gt;D6, C6*0.1, C6*0.05)</f>
        <v>22</v>
      </c>
      <c r="J6" s="4" t="str">
        <f>IF(C6&gt;=200,"Excellent",IF(C6&gt;150,"Good","Needs Improvement"))</f>
        <v>Excellent</v>
      </c>
      <c r="K6" s="4" t="str">
        <f>IF(C6&gt;200,"High",IF(C6&gt;=100,"Medium","Low"))</f>
        <v>High</v>
      </c>
      <c r="L6" s="4">
        <f t="shared" si="1"/>
        <v>500</v>
      </c>
      <c r="M6" s="4" t="str">
        <f>IF(C6&gt;=PERCENTILE($C$2:$C$7,0.75),"High performer","Low performer")</f>
        <v>High performer</v>
      </c>
      <c r="N6" s="1"/>
      <c r="P6" s="1"/>
      <c r="R6" s="1"/>
      <c r="S6" s="1">
        <f t="shared" si="2"/>
        <v>500</v>
      </c>
      <c r="T6" s="1"/>
      <c r="U6" s="1">
        <f t="shared" si="3"/>
        <v>197.5</v>
      </c>
    </row>
    <row r="7" spans="1:21" x14ac:dyDescent="0.3">
      <c r="A7" s="3">
        <v>106</v>
      </c>
      <c r="B7" s="3" t="s">
        <v>9</v>
      </c>
      <c r="C7" s="3">
        <v>130</v>
      </c>
      <c r="D7" s="3">
        <v>160</v>
      </c>
      <c r="E7" s="3" t="s">
        <v>11</v>
      </c>
      <c r="F7" s="4" t="str">
        <f>IF(C7&gt;=D7,"Met","Not Met")</f>
        <v>Not Met</v>
      </c>
      <c r="G7" s="4" t="str">
        <f>IF(AND(E7="North", C7&gt;200),"Eligible","Not Eligible")</f>
        <v>Not Eligible</v>
      </c>
      <c r="H7" s="4" t="str">
        <f t="shared" si="0"/>
        <v>5%</v>
      </c>
      <c r="I7" s="4">
        <f>IF(C7&gt;D7, C7*0.1, C7*0.05)</f>
        <v>6.5</v>
      </c>
      <c r="J7" s="4" t="str">
        <f>IF(C7&gt;=200,"Excellent",IF(C7&gt;150,"Good","Needs Improvement"))</f>
        <v>Needs Improvement</v>
      </c>
      <c r="K7" s="4" t="str">
        <f>IF(C7&gt;200,"High",IF(C7&gt;=100,"Medium","Low"))</f>
        <v>Medium</v>
      </c>
      <c r="L7" s="4">
        <f t="shared" si="1"/>
        <v>300</v>
      </c>
      <c r="M7" s="4" t="str">
        <f>IF(C7&gt;=PERCENTILE($C$2:$C$7,0.75),"High performer","Low performer")</f>
        <v>Low performer</v>
      </c>
      <c r="N7" s="1"/>
      <c r="P7" s="1"/>
      <c r="R7" s="1"/>
      <c r="S7" s="1">
        <f t="shared" si="2"/>
        <v>300</v>
      </c>
      <c r="T7" s="1"/>
      <c r="U7" s="1">
        <f t="shared" si="3"/>
        <v>130</v>
      </c>
    </row>
    <row r="11" spans="1:21" x14ac:dyDescent="0.3">
      <c r="I11" t="s">
        <v>21</v>
      </c>
    </row>
    <row r="17" spans="12:12" x14ac:dyDescent="0.3">
      <c r="L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mondal</dc:creator>
  <cp:lastModifiedBy>kumkum mondal</cp:lastModifiedBy>
  <dcterms:created xsi:type="dcterms:W3CDTF">2025-11-24T04:50:11Z</dcterms:created>
  <dcterms:modified xsi:type="dcterms:W3CDTF">2025-11-24T06:17:35Z</dcterms:modified>
</cp:coreProperties>
</file>