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Users\kumkum\Downloads\"/>
    </mc:Choice>
  </mc:AlternateContent>
  <xr:revisionPtr revIDLastSave="0" documentId="13_ncr:1_{186A7450-DD20-4EF2-B2A8-0793D3E9228A}" xr6:coauthVersionLast="47" xr6:coauthVersionMax="47" xr10:uidLastSave="{00000000-0000-0000-0000-000000000000}"/>
  <bookViews>
    <workbookView xWindow="-108" yWindow="-108" windowWidth="23256" windowHeight="12456" activeTab="3" xr2:uid="{C6B4808F-65A3-44A4-8AB0-7F721F37899A}"/>
  </bookViews>
  <sheets>
    <sheet name="Sheet1" sheetId="1" r:id="rId1"/>
    <sheet name="Sheet2" sheetId="2" r:id="rId2"/>
    <sheet name="Sheet3" sheetId="3" r:id="rId3"/>
    <sheet name="Dashboard" sheetId="5" r:id="rId4"/>
  </sheets>
  <definedNames>
    <definedName name="Department_details">Sheet2!$A$2:$D$8</definedName>
    <definedName name="Department_List">Sheet2!$A$2:$D$8</definedName>
    <definedName name="Employee_details">Sheet1!$A$1:$P$9</definedName>
    <definedName name="Salary_details">Sheet3!$A$1:$J$10</definedName>
    <definedName name="Slicer_City">#N/A</definedName>
    <definedName name="Slicer_Department_Name">#N/A</definedName>
    <definedName name="Slicer_Employment_Type">#N/A</definedName>
    <definedName name="Slicer_Employment_Type1">#N/A</definedName>
  </definedNames>
  <calcPr calcId="191029"/>
  <pivotCaches>
    <pivotCache cacheId="14" r:id="rId5"/>
    <pivotCache cacheId="1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K4" i="3"/>
  <c r="K2" i="3"/>
  <c r="K5" i="3"/>
  <c r="K6" i="3"/>
  <c r="K7" i="3"/>
  <c r="K8" i="3"/>
  <c r="K9" i="3"/>
  <c r="Q3" i="1"/>
  <c r="Q4" i="1"/>
  <c r="Q5" i="1"/>
  <c r="Q6" i="1"/>
  <c r="Q7" i="1"/>
  <c r="Q8" i="1"/>
  <c r="Q9" i="1"/>
  <c r="Q2" i="1"/>
  <c r="I3" i="3"/>
  <c r="J3" i="3" s="1"/>
  <c r="I4" i="3"/>
  <c r="J4" i="3" s="1"/>
  <c r="I5" i="3"/>
  <c r="J5" i="3" s="1"/>
  <c r="I6" i="3"/>
  <c r="J6" i="3" s="1"/>
  <c r="I7" i="3"/>
  <c r="J7" i="3" s="1"/>
  <c r="I8" i="3"/>
  <c r="I9" i="3"/>
  <c r="J8" i="3"/>
  <c r="J9" i="3"/>
  <c r="B3" i="3"/>
  <c r="B2" i="3"/>
  <c r="B4" i="3"/>
  <c r="B5" i="3"/>
  <c r="B6" i="3"/>
  <c r="B7" i="3"/>
  <c r="B8" i="3"/>
  <c r="B9" i="3"/>
  <c r="H3" i="1"/>
  <c r="C3" i="3" s="1"/>
  <c r="H4" i="1"/>
  <c r="J4" i="1" s="1"/>
  <c r="H5" i="1"/>
  <c r="C5" i="3" s="1"/>
  <c r="H6" i="1"/>
  <c r="C6" i="3" s="1"/>
  <c r="H7" i="1"/>
  <c r="J7" i="1" s="1"/>
  <c r="H8" i="1"/>
  <c r="C8" i="3" s="1"/>
  <c r="H9" i="1"/>
  <c r="C9" i="3" s="1"/>
  <c r="H2" i="1"/>
  <c r="J2" i="1" s="1"/>
  <c r="I2" i="3"/>
  <c r="J2" i="3" s="1"/>
  <c r="J8" i="1" l="1"/>
  <c r="C2" i="3"/>
  <c r="J9" i="1"/>
  <c r="C7" i="3"/>
  <c r="J6" i="1"/>
  <c r="C4" i="3"/>
  <c r="J5" i="1"/>
</calcChain>
</file>

<file path=xl/sharedStrings.xml><?xml version="1.0" encoding="utf-8"?>
<sst xmlns="http://schemas.openxmlformats.org/spreadsheetml/2006/main" count="182" uniqueCount="129">
  <si>
    <t>Emp_ID</t>
  </si>
  <si>
    <t>First_Name</t>
  </si>
  <si>
    <t>Last_Name</t>
  </si>
  <si>
    <t>Gender</t>
  </si>
  <si>
    <t>Age</t>
  </si>
  <si>
    <t>DOB</t>
  </si>
  <si>
    <t>Email</t>
  </si>
  <si>
    <t>Phone</t>
  </si>
  <si>
    <t>City</t>
  </si>
  <si>
    <t>Job_Title</t>
  </si>
  <si>
    <t>Employment_Type</t>
  </si>
  <si>
    <t>Hire_Date</t>
  </si>
  <si>
    <t>Bonus</t>
  </si>
  <si>
    <t>Status</t>
  </si>
  <si>
    <t>E001</t>
  </si>
  <si>
    <t>Rahul</t>
  </si>
  <si>
    <t>Sharma</t>
  </si>
  <si>
    <t>Male</t>
  </si>
  <si>
    <t>rahul.sharma@company.com</t>
  </si>
  <si>
    <t>Bengaluru</t>
  </si>
  <si>
    <t>IT</t>
  </si>
  <si>
    <t>Software Engineer</t>
  </si>
  <si>
    <t>Full-Time</t>
  </si>
  <si>
    <t>Active</t>
  </si>
  <si>
    <t>E002</t>
  </si>
  <si>
    <t>Priya</t>
  </si>
  <si>
    <t>Verma</t>
  </si>
  <si>
    <t>Female</t>
  </si>
  <si>
    <t>priya.verma@company.com</t>
  </si>
  <si>
    <t>Kolkata</t>
  </si>
  <si>
    <t>HR</t>
  </si>
  <si>
    <t>HR Executive</t>
  </si>
  <si>
    <t>E003</t>
  </si>
  <si>
    <t>Aman</t>
  </si>
  <si>
    <t>Singh</t>
  </si>
  <si>
    <t>aman.singh@company.com</t>
  </si>
  <si>
    <t>Noida</t>
  </si>
  <si>
    <t>Finance</t>
  </si>
  <si>
    <t>Financial Analyst</t>
  </si>
  <si>
    <t>E004</t>
  </si>
  <si>
    <t>Neha</t>
  </si>
  <si>
    <t>Patel</t>
  </si>
  <si>
    <t>neha.patel@company.com</t>
  </si>
  <si>
    <t>Ahmedabad</t>
  </si>
  <si>
    <t>Marketing</t>
  </si>
  <si>
    <t>Digital Marketer</t>
  </si>
  <si>
    <t>Contract</t>
  </si>
  <si>
    <t>E005</t>
  </si>
  <si>
    <t>Rohit</t>
  </si>
  <si>
    <t>Kumar</t>
  </si>
  <si>
    <t>rohit.kumar@company.com</t>
  </si>
  <si>
    <t>Patna</t>
  </si>
  <si>
    <t>Operations</t>
  </si>
  <si>
    <t>Operations Manager</t>
  </si>
  <si>
    <t>E006</t>
  </si>
  <si>
    <t>Anjali</t>
  </si>
  <si>
    <t>Mehta</t>
  </si>
  <si>
    <t>anjali.mehta@company.com</t>
  </si>
  <si>
    <t>Pune</t>
  </si>
  <si>
    <t>QA Engineer</t>
  </si>
  <si>
    <t>E007</t>
  </si>
  <si>
    <t>Suresh</t>
  </si>
  <si>
    <t>Reddy</t>
  </si>
  <si>
    <t>suresh.reddy@company.com</t>
  </si>
  <si>
    <t>Hyderabad</t>
  </si>
  <si>
    <t>Sales</t>
  </si>
  <si>
    <t>Sales Manager</t>
  </si>
  <si>
    <t>E008</t>
  </si>
  <si>
    <t>Kavya</t>
  </si>
  <si>
    <t>Nair</t>
  </si>
  <si>
    <t>kavya.nair@company.com</t>
  </si>
  <si>
    <t>Kochi</t>
  </si>
  <si>
    <t>Support</t>
  </si>
  <si>
    <t>Part-Time</t>
  </si>
  <si>
    <t>Jaipur</t>
  </si>
  <si>
    <t>Lucknow</t>
  </si>
  <si>
    <t>Chennai</t>
  </si>
  <si>
    <t>Ghaziabad</t>
  </si>
  <si>
    <t>Department_ID</t>
  </si>
  <si>
    <t>D01</t>
  </si>
  <si>
    <t>D02</t>
  </si>
  <si>
    <t>D03</t>
  </si>
  <si>
    <t>D04</t>
  </si>
  <si>
    <t>D05</t>
  </si>
  <si>
    <t>D06</t>
  </si>
  <si>
    <t>D07</t>
  </si>
  <si>
    <t>Support Executive</t>
  </si>
  <si>
    <t>Department_Name</t>
  </si>
  <si>
    <t>Manager_Name</t>
  </si>
  <si>
    <t>Location</t>
  </si>
  <si>
    <t>Sunita Rao</t>
  </si>
  <si>
    <t>Manoj Das</t>
  </si>
  <si>
    <t>Ritika Jain</t>
  </si>
  <si>
    <t>Vikas Yadav</t>
  </si>
  <si>
    <t>Rohit Kumar</t>
  </si>
  <si>
    <t>Ramesh Iyer</t>
  </si>
  <si>
    <t>Shalini Saxena</t>
  </si>
  <si>
    <t>Basic_Salary</t>
  </si>
  <si>
    <t>HRA</t>
  </si>
  <si>
    <t>DA</t>
  </si>
  <si>
    <t>Deductions</t>
  </si>
  <si>
    <t>Gross_Salary</t>
  </si>
  <si>
    <t>Net_Salary</t>
  </si>
  <si>
    <t>1.Get the Department Name for each employee in Employee_Details sheet</t>
  </si>
  <si>
    <t>2.Get the Manager Name for each employee in Employee_Details sheet</t>
  </si>
  <si>
    <t>Maneger Name</t>
  </si>
  <si>
    <t>3.Get Full Employee Name in Salary_Details sheet</t>
  </si>
  <si>
    <t>Full_Name</t>
  </si>
  <si>
    <t>Q4: Get Department Name in Salary_Details sheet</t>
  </si>
  <si>
    <t>Inactive</t>
  </si>
  <si>
    <t>Inctive</t>
  </si>
  <si>
    <r>
      <t>Employee_Status_Category</t>
    </r>
    <r>
      <rPr>
        <sz val="11"/>
        <color theme="2" tint="-0.89996032593768116"/>
        <rFont val="Aptos Narrow"/>
        <family val="2"/>
        <scheme val="minor"/>
      </rPr>
      <t>.</t>
    </r>
  </si>
  <si>
    <t>Q5: Highlight Employees with High Net Salary</t>
  </si>
  <si>
    <t>6. Classify Employees Based on Employment Type and Status</t>
  </si>
  <si>
    <t>Row Labels</t>
  </si>
  <si>
    <t>Grand Total</t>
  </si>
  <si>
    <t>Sum of Basic_Salary</t>
  </si>
  <si>
    <t>Count of Emp_ID</t>
  </si>
  <si>
    <t>Employment Type</t>
  </si>
  <si>
    <t>2014</t>
  </si>
  <si>
    <t>2016</t>
  </si>
  <si>
    <t>2019</t>
  </si>
  <si>
    <t>2020</t>
  </si>
  <si>
    <t>2021</t>
  </si>
  <si>
    <t>2022</t>
  </si>
  <si>
    <t>2023</t>
  </si>
  <si>
    <t>2024</t>
  </si>
  <si>
    <t>Sum of Bonus</t>
  </si>
  <si>
    <t>Sum of Deductions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</si>
</sst>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2" tint="-0.89996032593768116"/>
      <name val="Aptos Narrow"/>
      <family val="2"/>
      <scheme val="minor"/>
    </font>
    <font>
      <sz val="11"/>
      <color theme="2" tint="-0.89999084444715716"/>
      <name val="Aptos Narrow"/>
      <family val="2"/>
      <scheme val="minor"/>
    </font>
    <font>
      <b/>
      <sz val="11"/>
      <color theme="2" tint="-0.89996032593768116"/>
      <name val="Aptos Narrow"/>
      <family val="2"/>
      <scheme val="minor"/>
    </font>
    <font>
      <b/>
      <sz val="11"/>
      <color theme="2" tint="-0.89999084444715716"/>
      <name val="Aptos Narrow"/>
      <family val="2"/>
      <scheme val="minor"/>
    </font>
    <font>
      <sz val="11"/>
      <color rgb="FFFF0000"/>
      <name val="Aptos Narrow"/>
      <family val="2"/>
      <scheme val="minor"/>
    </font>
  </fonts>
  <fills count="8">
    <fill>
      <patternFill patternType="none"/>
    </fill>
    <fill>
      <patternFill patternType="gray125"/>
    </fill>
    <fill>
      <patternFill patternType="solid">
        <fgColor theme="1"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21">
    <xf numFmtId="0" fontId="0" fillId="0" borderId="0" xfId="0"/>
    <xf numFmtId="14" fontId="0" fillId="0" borderId="0" xfId="0" applyNumberFormat="1"/>
    <xf numFmtId="0" fontId="1" fillId="0" borderId="0" xfId="0" applyFont="1"/>
    <xf numFmtId="14" fontId="1" fillId="0" borderId="0" xfId="0" applyNumberFormat="1" applyFont="1"/>
    <xf numFmtId="0" fontId="2" fillId="0" borderId="0" xfId="0" applyFont="1"/>
    <xf numFmtId="0" fontId="1" fillId="2" borderId="0" xfId="0" applyFont="1" applyFill="1"/>
    <xf numFmtId="0" fontId="3" fillId="0" borderId="0" xfId="0" applyFont="1"/>
    <xf numFmtId="0" fontId="3" fillId="2" borderId="0" xfId="0" applyFont="1" applyFill="1"/>
    <xf numFmtId="0" fontId="3" fillId="3" borderId="0" xfId="0" applyFont="1" applyFill="1"/>
    <xf numFmtId="0" fontId="1" fillId="3" borderId="0" xfId="0" applyFont="1" applyFill="1"/>
    <xf numFmtId="0" fontId="3" fillId="4" borderId="0" xfId="0" applyFont="1" applyFill="1"/>
    <xf numFmtId="0" fontId="0" fillId="4" borderId="0" xfId="0" applyFill="1"/>
    <xf numFmtId="0" fontId="3" fillId="5" borderId="0" xfId="0" applyFont="1" applyFill="1"/>
    <xf numFmtId="0" fontId="0" fillId="5" borderId="0" xfId="0" applyFill="1"/>
    <xf numFmtId="0" fontId="2" fillId="6" borderId="0" xfId="0" applyFont="1" applyFill="1"/>
    <xf numFmtId="0" fontId="1" fillId="6" borderId="0" xfId="0" applyFont="1" applyFill="1"/>
    <xf numFmtId="0" fontId="0" fillId="0" borderId="0" xfId="0" pivotButton="1"/>
    <xf numFmtId="0" fontId="0" fillId="0" borderId="0" xfId="0" applyAlignment="1">
      <alignment horizontal="left"/>
    </xf>
    <xf numFmtId="0" fontId="0" fillId="0" borderId="0" xfId="0" applyNumberFormat="1"/>
    <xf numFmtId="0" fontId="0" fillId="7" borderId="0" xfId="0" applyFill="1"/>
    <xf numFmtId="0" fontId="4" fillId="7" borderId="0" xfId="0" applyFont="1" applyFill="1"/>
  </cellXfs>
  <cellStyles count="1">
    <cellStyle name="Normal" xfId="0" builtinId="0" customBuiltin="1"/>
  </cellStyles>
  <dxfs count="43">
    <dxf>
      <font>
        <b/>
        <i val="0"/>
        <color theme="3" tint="0.749961851863155"/>
      </font>
    </dxf>
    <dxf>
      <font>
        <b/>
        <i val="0"/>
        <color theme="3" tint="0.499984740745262"/>
      </font>
    </dxf>
    <dxf>
      <font>
        <b/>
        <i val="0"/>
      </font>
    </dxf>
    <dxf>
      <font>
        <color theme="3" tint="0.499984740745262"/>
      </font>
    </dxf>
    <dxf>
      <font>
        <b/>
        <i val="0"/>
        <color theme="4" tint="0.59996337778862885"/>
      </font>
    </dxf>
    <dxf>
      <font>
        <color theme="3" tint="0.499984740745262"/>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ill>
        <patternFill patternType="solid">
          <fgColor indexed="64"/>
          <bgColor theme="2" tint="-9.9978637043366805E-2"/>
        </patternFill>
      </fill>
    </dxf>
    <dxf>
      <fill>
        <patternFill patternType="solid">
          <fgColor indexed="64"/>
          <bgColor theme="5" tint="0.79998168889431442"/>
        </patternFill>
      </fill>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fill>
        <patternFill patternType="solid">
          <fgColor indexed="64"/>
          <bgColor theme="0" tint="-0.14999847407452621"/>
        </patternFill>
      </fill>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numFmt numFmtId="19" formatCode="dd/mm/yyyy"/>
    </dxf>
    <dxf>
      <font>
        <b val="0"/>
        <i val="0"/>
        <strike val="0"/>
        <condense val="0"/>
        <extend val="0"/>
        <outline val="0"/>
        <shadow val="0"/>
        <u val="none"/>
        <vertAlign val="baseline"/>
        <sz val="11"/>
        <color theme="2" tint="-0.89999084444715716"/>
        <name val="Aptos Narrow"/>
        <family val="2"/>
        <scheme val="minor"/>
      </font>
      <fill>
        <patternFill patternType="solid">
          <fgColor indexed="64"/>
          <bgColor theme="8" tint="0.79998168889431442"/>
        </patternFill>
      </fill>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fill>
        <patternFill patternType="solid">
          <fgColor indexed="64"/>
          <bgColor theme="1" tint="0.79998168889431442"/>
        </patternFill>
      </fill>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numFmt numFmtId="19" formatCode="dd/mm/yyyy"/>
    </dxf>
    <dxf>
      <font>
        <b val="0"/>
        <i val="0"/>
        <strike val="0"/>
        <condense val="0"/>
        <extend val="0"/>
        <outline val="0"/>
        <shadow val="0"/>
        <u val="none"/>
        <vertAlign val="baseline"/>
        <sz val="11"/>
        <color theme="2" tint="-0.89999084444715716"/>
        <name val="Aptos Narrow"/>
        <family val="2"/>
        <scheme val="minor"/>
      </font>
      <numFmt numFmtId="19" formatCode="dd/mm/yyyy"/>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1"/>
        <color theme="2" tint="-0.89999084444715716"/>
        <name val="Aptos Narrow"/>
        <family val="2"/>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200" b="0" i="0" u="none" strike="noStrike" kern="1200" spc="0" baseline="0">
                <a:solidFill>
                  <a:schemeClr val="accent1">
                    <a:lumMod val="75000"/>
                  </a:schemeClr>
                </a:solidFill>
                <a:latin typeface="+mn-lt"/>
                <a:ea typeface="+mn-ea"/>
                <a:cs typeface="+mn-cs"/>
              </a:defRPr>
            </a:pPr>
            <a:r>
              <a:rPr lang="en-US" sz="1200">
                <a:solidFill>
                  <a:schemeClr val="accent1">
                    <a:lumMod val="75000"/>
                  </a:schemeClr>
                </a:solidFill>
              </a:rPr>
              <a:t>TOTAL</a:t>
            </a:r>
            <a:r>
              <a:rPr lang="en-US" sz="1200" baseline="0">
                <a:solidFill>
                  <a:schemeClr val="accent1">
                    <a:lumMod val="75000"/>
                  </a:schemeClr>
                </a:solidFill>
              </a:rPr>
              <a:t> NET SALARY BY DEPARTMENT</a:t>
            </a:r>
            <a:endParaRPr lang="en-US" sz="1200">
              <a:solidFill>
                <a:schemeClr val="accent1">
                  <a:lumMod val="75000"/>
                </a:schemeClr>
              </a:solidFill>
            </a:endParaRPr>
          </a:p>
        </c:rich>
      </c:tx>
      <c:layout>
        <c:manualLayout>
          <c:xMode val="edge"/>
          <c:yMode val="edge"/>
          <c:x val="0.10232988100870967"/>
          <c:y val="3.634670752252828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4"/>
            </a:solidFill>
            <a:ln>
              <a:noFill/>
            </a:ln>
            <a:effectLst/>
            <a:sp3d/>
          </c:spPr>
          <c:invertIfNegative val="0"/>
          <c:cat>
            <c:strLit>
              <c:ptCount val="7"/>
              <c:pt idx="0">
                <c:v>Finance</c:v>
              </c:pt>
              <c:pt idx="1">
                <c:v>HR</c:v>
              </c:pt>
              <c:pt idx="2">
                <c:v>IT</c:v>
              </c:pt>
              <c:pt idx="3">
                <c:v>Marketing</c:v>
              </c:pt>
              <c:pt idx="4">
                <c:v>Operations</c:v>
              </c:pt>
              <c:pt idx="5">
                <c:v>Sales</c:v>
              </c:pt>
              <c:pt idx="6">
                <c:v>Support</c:v>
              </c:pt>
            </c:strLit>
          </c:cat>
          <c:val>
            <c:numLit>
              <c:formatCode>General</c:formatCode>
              <c:ptCount val="7"/>
              <c:pt idx="0">
                <c:v>950000</c:v>
              </c:pt>
              <c:pt idx="1">
                <c:v>530000</c:v>
              </c:pt>
              <c:pt idx="2">
                <c:v>1470000</c:v>
              </c:pt>
              <c:pt idx="3">
                <c:v>460000</c:v>
              </c:pt>
              <c:pt idx="4">
                <c:v>1220000</c:v>
              </c:pt>
              <c:pt idx="5">
                <c:v>1520000</c:v>
              </c:pt>
              <c:pt idx="6">
                <c:v>325000</c:v>
              </c:pt>
            </c:numLit>
          </c:val>
          <c:extLst>
            <c:ext xmlns:c16="http://schemas.microsoft.com/office/drawing/2014/chart" uri="{C3380CC4-5D6E-409C-BE32-E72D297353CC}">
              <c16:uniqueId val="{00000000-AD52-4C94-A408-4F96298DE68A}"/>
            </c:ext>
          </c:extLst>
        </c:ser>
        <c:dLbls>
          <c:showLegendKey val="0"/>
          <c:showVal val="0"/>
          <c:showCatName val="0"/>
          <c:showSerName val="0"/>
          <c:showPercent val="0"/>
          <c:showBubbleSize val="0"/>
        </c:dLbls>
        <c:gapWidth val="150"/>
        <c:shape val="box"/>
        <c:axId val="519057567"/>
        <c:axId val="519063807"/>
        <c:axId val="0"/>
      </c:bar3DChart>
      <c:catAx>
        <c:axId val="519057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19063807"/>
        <c:crosses val="autoZero"/>
        <c:auto val="1"/>
        <c:lblAlgn val="ctr"/>
        <c:lblOffset val="100"/>
        <c:noMultiLvlLbl val="0"/>
      </c:catAx>
      <c:valAx>
        <c:axId val="51906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1905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a:sp3d contourW="25400">
            <a:contourClr>
              <a:schemeClr val="lt1"/>
            </a:contourClr>
          </a:sp3d>
        </c:spPr>
      </c:pivotFmt>
      <c:pivotFmt>
        <c:idx val="3"/>
        <c:spPr>
          <a:solidFill>
            <a:schemeClr val="accent4"/>
          </a:solidFill>
          <a:ln w="19050">
            <a:solidFill>
              <a:schemeClr val="lt1"/>
            </a:solidFill>
          </a:ln>
          <a:effectLst/>
          <a:sp3d contourW="25400">
            <a:contourClr>
              <a:schemeClr val="lt1"/>
            </a:contourClr>
          </a:sp3d>
        </c:spPr>
      </c:pivotFmt>
      <c:pivotFmt>
        <c:idx val="4"/>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25400">
            <a:solidFill>
              <a:schemeClr val="lt1"/>
            </a:solidFill>
          </a:ln>
          <a:effectLst/>
          <a:sp3d contourW="25400">
            <a:contourClr>
              <a:schemeClr val="lt1"/>
            </a:contourClr>
          </a:sp3d>
        </c:spPr>
      </c:pivotFmt>
      <c:pivotFmt>
        <c:idx val="6"/>
        <c:spPr>
          <a:solidFill>
            <a:schemeClr val="accent4"/>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4119079239626436"/>
          <c:w val="0.7993055555555556"/>
          <c:h val="0.68578922426363376"/>
        </c:manualLayout>
      </c:layout>
      <c:pie3DChart>
        <c:varyColors val="1"/>
        <c:ser>
          <c:idx val="0"/>
          <c:order val="0"/>
          <c:tx>
            <c:v>Total</c:v>
          </c:tx>
          <c:dPt>
            <c:idx val="0"/>
            <c:bubble3D val="0"/>
            <c:spPr>
              <a:solidFill>
                <a:schemeClr val="accent4">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325F-44CC-A67D-471FB4C7BFA5}"/>
              </c:ext>
            </c:extLst>
          </c:dPt>
          <c:dPt>
            <c:idx val="1"/>
            <c:bubble3D val="0"/>
            <c:spPr>
              <a:solidFill>
                <a:schemeClr val="accent4">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25F-44CC-A67D-471FB4C7BFA5}"/>
              </c:ext>
            </c:extLst>
          </c:dPt>
          <c:cat>
            <c:strLit>
              <c:ptCount val="2"/>
              <c:pt idx="0">
                <c:v>Female</c:v>
              </c:pt>
              <c:pt idx="1">
                <c:v>Male</c:v>
              </c:pt>
            </c:strLit>
          </c:cat>
          <c:val>
            <c:numLit>
              <c:formatCode>General</c:formatCode>
              <c:ptCount val="2"/>
              <c:pt idx="0">
                <c:v>4</c:v>
              </c:pt>
              <c:pt idx="1">
                <c:v>4</c:v>
              </c:pt>
            </c:numLit>
          </c:val>
          <c:extLst>
            <c:ext xmlns:c16="http://schemas.microsoft.com/office/drawing/2014/chart" uri="{C3380CC4-5D6E-409C-BE32-E72D297353CC}">
              <c16:uniqueId val="{00000004-325F-44CC-A67D-471FB4C7BFA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project.xlsx]Sheet3!PivotTable3</c:name>
    <c:fmtId val="4"/>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sz="1000">
                <a:solidFill>
                  <a:schemeClr val="accent1">
                    <a:lumMod val="75000"/>
                  </a:schemeClr>
                </a:solidFill>
              </a:rPr>
              <a:t>BASIC</a:t>
            </a:r>
            <a:r>
              <a:rPr lang="en-US" sz="1000" baseline="0">
                <a:solidFill>
                  <a:schemeClr val="accent1">
                    <a:lumMod val="75000"/>
                  </a:schemeClr>
                </a:solidFill>
              </a:rPr>
              <a:t> SALARY BY EMPLOYEE TYPE</a:t>
            </a:r>
            <a:endParaRPr lang="en-US" sz="1000">
              <a:solidFill>
                <a:schemeClr val="accent1">
                  <a:lumMod val="75000"/>
                </a:schemeClr>
              </a:solidFill>
            </a:endParaRPr>
          </a:p>
        </c:rich>
      </c:tx>
      <c:layout>
        <c:manualLayout>
          <c:xMode val="edge"/>
          <c:yMode val="edge"/>
          <c:x val="0.39763323421906632"/>
          <c:y val="4.08779889358809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s>
    <c:plotArea>
      <c:layout>
        <c:manualLayout>
          <c:layoutTarget val="inner"/>
          <c:xMode val="edge"/>
          <c:yMode val="edge"/>
          <c:x val="4.4029898136153843E-2"/>
          <c:y val="0.16711216236490323"/>
          <c:w val="0.57346468389574656"/>
          <c:h val="0.80273976427444971"/>
        </c:manualLayout>
      </c:layout>
      <c:doughnutChart>
        <c:varyColors val="1"/>
        <c:ser>
          <c:idx val="0"/>
          <c:order val="0"/>
          <c:tx>
            <c:strRef>
              <c:f>Sheet3!$C$13</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2779-46E9-8B81-E8D8C84DF0F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2779-46E9-8B81-E8D8C84DF0F9}"/>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2779-46E9-8B81-E8D8C84DF0F9}"/>
              </c:ext>
            </c:extLst>
          </c:dPt>
          <c:cat>
            <c:strRef>
              <c:f>Sheet3!$B$14:$B$17</c:f>
              <c:strCache>
                <c:ptCount val="3"/>
                <c:pt idx="0">
                  <c:v>Contract</c:v>
                </c:pt>
                <c:pt idx="1">
                  <c:v>Full-Time</c:v>
                </c:pt>
                <c:pt idx="2">
                  <c:v>Part-Time</c:v>
                </c:pt>
              </c:strCache>
            </c:strRef>
          </c:cat>
          <c:val>
            <c:numRef>
              <c:f>Sheet3!$C$14:$C$17</c:f>
              <c:numCache>
                <c:formatCode>General</c:formatCode>
                <c:ptCount val="3"/>
                <c:pt idx="0">
                  <c:v>750000</c:v>
                </c:pt>
                <c:pt idx="1">
                  <c:v>3800000</c:v>
                </c:pt>
                <c:pt idx="2">
                  <c:v>250000</c:v>
                </c:pt>
              </c:numCache>
            </c:numRef>
          </c:val>
          <c:extLst>
            <c:ext xmlns:c16="http://schemas.microsoft.com/office/drawing/2014/chart" uri="{C3380CC4-5D6E-409C-BE32-E72D297353CC}">
              <c16:uniqueId val="{00000006-2779-46E9-8B81-E8D8C84DF0F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290878805656685"/>
          <c:y val="0.44358355501694824"/>
          <c:w val="0.31709121194343315"/>
          <c:h val="0.290745015061368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project.xlsx]Sheet1!PivotTable4</c:name>
    <c:fmtId val="6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EPLOYEE</a:t>
            </a:r>
            <a:r>
              <a:rPr lang="en-US" baseline="0"/>
              <a:t> HIRING TREN 2024</a:t>
            </a:r>
            <a:endParaRPr lang="en-US"/>
          </a:p>
        </c:rich>
      </c:tx>
      <c:layout>
        <c:manualLayout>
          <c:xMode val="edge"/>
          <c:yMode val="edge"/>
          <c:x val="0.29710055774278216"/>
          <c:y val="3.073162532326429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605951050073576E-2"/>
          <c:y val="0.22614191262899103"/>
          <c:w val="0.71794619422572181"/>
          <c:h val="0.53811424613589964"/>
        </c:manualLayout>
      </c:layout>
      <c:lineChart>
        <c:grouping val="percentStacked"/>
        <c:varyColors val="0"/>
        <c:ser>
          <c:idx val="0"/>
          <c:order val="0"/>
          <c:tx>
            <c:strRef>
              <c:f>Sheet1!$G$18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Sheet1!$F$19:$F$27</c:f>
              <c:strCache>
                <c:ptCount val="8"/>
                <c:pt idx="0">
                  <c:v>2014</c:v>
                </c:pt>
                <c:pt idx="1">
                  <c:v>2016</c:v>
                </c:pt>
                <c:pt idx="2">
                  <c:v>2019</c:v>
                </c:pt>
                <c:pt idx="3">
                  <c:v>2020</c:v>
                </c:pt>
                <c:pt idx="4">
                  <c:v>2021</c:v>
                </c:pt>
                <c:pt idx="5">
                  <c:v>2022</c:v>
                </c:pt>
                <c:pt idx="6">
                  <c:v>2023</c:v>
                </c:pt>
                <c:pt idx="7">
                  <c:v>2024</c:v>
                </c:pt>
              </c:strCache>
            </c:strRef>
          </c:cat>
          <c:val>
            <c:numRef>
              <c:f>Sheet1!$G$19:$G$27</c:f>
              <c:numCache>
                <c:formatCode>General</c:formatCode>
                <c:ptCount val="8"/>
                <c:pt idx="0">
                  <c:v>1</c:v>
                </c:pt>
                <c:pt idx="1">
                  <c:v>1</c:v>
                </c:pt>
                <c:pt idx="2">
                  <c:v>1</c:v>
                </c:pt>
                <c:pt idx="3">
                  <c:v>1</c:v>
                </c:pt>
                <c:pt idx="4">
                  <c:v>1</c:v>
                </c:pt>
                <c:pt idx="5">
                  <c:v>1</c:v>
                </c:pt>
                <c:pt idx="6">
                  <c:v>1</c:v>
                </c:pt>
                <c:pt idx="7">
                  <c:v>1</c:v>
                </c:pt>
              </c:numCache>
            </c:numRef>
          </c:val>
          <c:smooth val="0"/>
          <c:extLst>
            <c:ext xmlns:c16="http://schemas.microsoft.com/office/drawing/2014/chart" uri="{C3380CC4-5D6E-409C-BE32-E72D297353CC}">
              <c16:uniqueId val="{00000000-9C7D-4B1D-8C74-163643D9F20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19088287"/>
        <c:axId val="519093087"/>
      </c:lineChart>
      <c:catAx>
        <c:axId val="51908828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19093087"/>
        <c:crosses val="autoZero"/>
        <c:auto val="1"/>
        <c:lblAlgn val="ctr"/>
        <c:lblOffset val="100"/>
        <c:noMultiLvlLbl val="0"/>
      </c:catAx>
      <c:valAx>
        <c:axId val="5190930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1908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project.xlsx]Sheet3!PivotTable5</c:name>
    <c:fmtId val="25"/>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Sheet3!$E$13</c:f>
              <c:strCache>
                <c:ptCount val="1"/>
                <c:pt idx="0">
                  <c:v>Sum of Bonus</c:v>
                </c:pt>
              </c:strCache>
            </c:strRef>
          </c:tx>
          <c:spPr>
            <a:solidFill>
              <a:schemeClr val="accent4">
                <a:shade val="76000"/>
              </a:schemeClr>
            </a:solidFill>
            <a:ln>
              <a:noFill/>
            </a:ln>
            <a:effectLst/>
          </c:spPr>
          <c:invertIfNegative val="0"/>
          <c:cat>
            <c:strRef>
              <c:f>Sheet3!$D$14:$D$21</c:f>
              <c:strCache>
                <c:ptCount val="7"/>
                <c:pt idx="0">
                  <c:v>Finance</c:v>
                </c:pt>
                <c:pt idx="1">
                  <c:v>HR</c:v>
                </c:pt>
                <c:pt idx="2">
                  <c:v>IT</c:v>
                </c:pt>
                <c:pt idx="3">
                  <c:v>Marketing</c:v>
                </c:pt>
                <c:pt idx="4">
                  <c:v>Operations</c:v>
                </c:pt>
                <c:pt idx="5">
                  <c:v>Sales</c:v>
                </c:pt>
                <c:pt idx="6">
                  <c:v>Support</c:v>
                </c:pt>
              </c:strCache>
            </c:strRef>
          </c:cat>
          <c:val>
            <c:numRef>
              <c:f>Sheet3!$E$14:$E$21</c:f>
              <c:numCache>
                <c:formatCode>General</c:formatCode>
                <c:ptCount val="7"/>
                <c:pt idx="0">
                  <c:v>80000</c:v>
                </c:pt>
                <c:pt idx="1">
                  <c:v>30000</c:v>
                </c:pt>
                <c:pt idx="2">
                  <c:v>95000</c:v>
                </c:pt>
                <c:pt idx="3">
                  <c:v>20000</c:v>
                </c:pt>
                <c:pt idx="4">
                  <c:v>100000</c:v>
                </c:pt>
                <c:pt idx="5">
                  <c:v>150000</c:v>
                </c:pt>
                <c:pt idx="6">
                  <c:v>10000</c:v>
                </c:pt>
              </c:numCache>
            </c:numRef>
          </c:val>
          <c:extLst>
            <c:ext xmlns:c16="http://schemas.microsoft.com/office/drawing/2014/chart" uri="{C3380CC4-5D6E-409C-BE32-E72D297353CC}">
              <c16:uniqueId val="{00000000-8259-4AC0-837A-7264C3F74266}"/>
            </c:ext>
          </c:extLst>
        </c:ser>
        <c:ser>
          <c:idx val="1"/>
          <c:order val="1"/>
          <c:tx>
            <c:strRef>
              <c:f>Sheet3!$F$13</c:f>
              <c:strCache>
                <c:ptCount val="1"/>
                <c:pt idx="0">
                  <c:v>Sum of Deductions</c:v>
                </c:pt>
              </c:strCache>
            </c:strRef>
          </c:tx>
          <c:spPr>
            <a:solidFill>
              <a:schemeClr val="accent4">
                <a:tint val="77000"/>
              </a:schemeClr>
            </a:solidFill>
            <a:ln>
              <a:noFill/>
            </a:ln>
            <a:effectLst/>
          </c:spPr>
          <c:invertIfNegative val="0"/>
          <c:cat>
            <c:strRef>
              <c:f>Sheet3!$D$14:$D$21</c:f>
              <c:strCache>
                <c:ptCount val="7"/>
                <c:pt idx="0">
                  <c:v>Finance</c:v>
                </c:pt>
                <c:pt idx="1">
                  <c:v>HR</c:v>
                </c:pt>
                <c:pt idx="2">
                  <c:v>IT</c:v>
                </c:pt>
                <c:pt idx="3">
                  <c:v>Marketing</c:v>
                </c:pt>
                <c:pt idx="4">
                  <c:v>Operations</c:v>
                </c:pt>
                <c:pt idx="5">
                  <c:v>Sales</c:v>
                </c:pt>
                <c:pt idx="6">
                  <c:v>Support</c:v>
                </c:pt>
              </c:strCache>
            </c:strRef>
          </c:cat>
          <c:val>
            <c:numRef>
              <c:f>Sheet3!$F$14:$F$21</c:f>
              <c:numCache>
                <c:formatCode>General</c:formatCode>
                <c:ptCount val="7"/>
                <c:pt idx="0">
                  <c:v>40000</c:v>
                </c:pt>
                <c:pt idx="1">
                  <c:v>20000</c:v>
                </c:pt>
                <c:pt idx="2">
                  <c:v>55000</c:v>
                </c:pt>
                <c:pt idx="3">
                  <c:v>15000</c:v>
                </c:pt>
                <c:pt idx="4">
                  <c:v>50000</c:v>
                </c:pt>
                <c:pt idx="5">
                  <c:v>60000</c:v>
                </c:pt>
                <c:pt idx="6">
                  <c:v>10000</c:v>
                </c:pt>
              </c:numCache>
            </c:numRef>
          </c:val>
          <c:extLst>
            <c:ext xmlns:c16="http://schemas.microsoft.com/office/drawing/2014/chart" uri="{C3380CC4-5D6E-409C-BE32-E72D297353CC}">
              <c16:uniqueId val="{00000001-8259-4AC0-837A-7264C3F74266}"/>
            </c:ext>
          </c:extLst>
        </c:ser>
        <c:dLbls>
          <c:showLegendKey val="0"/>
          <c:showVal val="0"/>
          <c:showCatName val="0"/>
          <c:showSerName val="0"/>
          <c:showPercent val="0"/>
          <c:showBubbleSize val="0"/>
        </c:dLbls>
        <c:gapWidth val="219"/>
        <c:overlap val="-27"/>
        <c:axId val="519072447"/>
        <c:axId val="519078687"/>
      </c:barChart>
      <c:catAx>
        <c:axId val="51907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19078687"/>
        <c:crosses val="autoZero"/>
        <c:auto val="1"/>
        <c:lblAlgn val="ctr"/>
        <c:lblOffset val="100"/>
        <c:noMultiLvlLbl val="0"/>
      </c:catAx>
      <c:valAx>
        <c:axId val="51907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1907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73397</xdr:colOff>
      <xdr:row>0</xdr:row>
      <xdr:rowOff>101602</xdr:rowOff>
    </xdr:from>
    <xdr:to>
      <xdr:col>13</xdr:col>
      <xdr:colOff>0</xdr:colOff>
      <xdr:row>12</xdr:row>
      <xdr:rowOff>1</xdr:rowOff>
    </xdr:to>
    <xdr:graphicFrame macro="">
      <xdr:nvGraphicFramePr>
        <xdr:cNvPr id="2" name="Chart 1">
          <a:extLst>
            <a:ext uri="{FF2B5EF4-FFF2-40B4-BE49-F238E27FC236}">
              <a16:creationId xmlns:a16="http://schemas.microsoft.com/office/drawing/2014/main" id="{4A1E4DF9-37E1-ED06-1C5B-0AE2110D9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376605</xdr:colOff>
      <xdr:row>0</xdr:row>
      <xdr:rowOff>140337</xdr:rowOff>
    </xdr:from>
    <xdr:to>
      <xdr:col>20</xdr:col>
      <xdr:colOff>0</xdr:colOff>
      <xdr:row>10</xdr:row>
      <xdr:rowOff>165692</xdr:rowOff>
    </xdr:to>
    <xdr:graphicFrame macro="">
      <xdr:nvGraphicFramePr>
        <xdr:cNvPr id="3" name="Chart 2">
          <a:extLst>
            <a:ext uri="{FF2B5EF4-FFF2-40B4-BE49-F238E27FC236}">
              <a16:creationId xmlns:a16="http://schemas.microsoft.com/office/drawing/2014/main" id="{5B81B18B-8C1C-4F56-A3C5-67FBB7FBD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1421</xdr:colOff>
      <xdr:row>12</xdr:row>
      <xdr:rowOff>91809</xdr:rowOff>
    </xdr:from>
    <xdr:to>
      <xdr:col>7</xdr:col>
      <xdr:colOff>0</xdr:colOff>
      <xdr:row>24</xdr:row>
      <xdr:rowOff>0</xdr:rowOff>
    </xdr:to>
    <xdr:graphicFrame macro="">
      <xdr:nvGraphicFramePr>
        <xdr:cNvPr id="4" name="Chart 3">
          <a:extLst>
            <a:ext uri="{FF2B5EF4-FFF2-40B4-BE49-F238E27FC236}">
              <a16:creationId xmlns:a16="http://schemas.microsoft.com/office/drawing/2014/main" id="{041AFC55-B1A5-4F37-9F27-DBC98CE8F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543471</xdr:colOff>
      <xdr:row>13</xdr:row>
      <xdr:rowOff>13223</xdr:rowOff>
    </xdr:from>
    <xdr:to>
      <xdr:col>13</xdr:col>
      <xdr:colOff>543472</xdr:colOff>
      <xdr:row>23</xdr:row>
      <xdr:rowOff>175846</xdr:rowOff>
    </xdr:to>
    <xdr:graphicFrame macro="">
      <xdr:nvGraphicFramePr>
        <xdr:cNvPr id="5" name="Chart 4">
          <a:extLst>
            <a:ext uri="{FF2B5EF4-FFF2-40B4-BE49-F238E27FC236}">
              <a16:creationId xmlns:a16="http://schemas.microsoft.com/office/drawing/2014/main" id="{2979DAED-5F14-47F8-A66A-FBA6ED2B1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968259</xdr:colOff>
      <xdr:row>0</xdr:row>
      <xdr:rowOff>101601</xdr:rowOff>
    </xdr:from>
    <xdr:to>
      <xdr:col>7</xdr:col>
      <xdr:colOff>401328</xdr:colOff>
      <xdr:row>11</xdr:row>
      <xdr:rowOff>78930</xdr:rowOff>
    </xdr:to>
    <xdr:graphicFrame macro="">
      <xdr:nvGraphicFramePr>
        <xdr:cNvPr id="6" name="Chart 5">
          <a:extLst>
            <a:ext uri="{FF2B5EF4-FFF2-40B4-BE49-F238E27FC236}">
              <a16:creationId xmlns:a16="http://schemas.microsoft.com/office/drawing/2014/main" id="{C7884E7C-73F7-4F30-8CCA-0363B36A4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91432</xdr:colOff>
      <xdr:row>13</xdr:row>
      <xdr:rowOff>4987</xdr:rowOff>
    </xdr:from>
    <xdr:to>
      <xdr:col>1</xdr:col>
      <xdr:colOff>800297</xdr:colOff>
      <xdr:row>21</xdr:row>
      <xdr:rowOff>95394</xdr:rowOff>
    </xdr:to>
    <mc:AlternateContent xmlns:mc="http://schemas.openxmlformats.org/markup-compatibility/2006">
      <mc:Choice xmlns:a14="http://schemas.microsoft.com/office/drawing/2010/main" Requires="a14">
        <xdr:graphicFrame macro="">
          <xdr:nvGraphicFramePr>
            <xdr:cNvPr id="8" name="Employment Type">
              <a:extLst>
                <a:ext uri="{FF2B5EF4-FFF2-40B4-BE49-F238E27FC236}">
                  <a16:creationId xmlns:a16="http://schemas.microsoft.com/office/drawing/2014/main" id="{36631049-8365-E97F-1866-FCB1C14A8840}"/>
                </a:ext>
              </a:extLst>
            </xdr:cNvPr>
            <xdr:cNvGraphicFramePr/>
          </xdr:nvGraphicFramePr>
          <xdr:xfrm>
            <a:off x="0" y="0"/>
            <a:ext cx="0" cy="0"/>
          </xdr:xfrm>
          <a:graphic>
            <a:graphicData uri="http://schemas.microsoft.com/office/drawing/2010/slicer">
              <sle:slicer xmlns:sle="http://schemas.microsoft.com/office/drawing/2010/slicer" name="Employment Type"/>
            </a:graphicData>
          </a:graphic>
        </xdr:graphicFrame>
      </mc:Choice>
      <mc:Fallback>
        <xdr:sp macro="" textlink="">
          <xdr:nvSpPr>
            <xdr:cNvPr id="0" name=""/>
            <xdr:cNvSpPr>
              <a:spLocks noTextEdit="1"/>
            </xdr:cNvSpPr>
          </xdr:nvSpPr>
          <xdr:spPr>
            <a:xfrm>
              <a:off x="91432" y="2386237"/>
              <a:ext cx="1558788" cy="1555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503991</xdr:colOff>
      <xdr:row>8</xdr:row>
      <xdr:rowOff>98182</xdr:rowOff>
    </xdr:from>
    <xdr:to>
      <xdr:col>31</xdr:col>
      <xdr:colOff>511739</xdr:colOff>
      <xdr:row>22</xdr:row>
      <xdr:rowOff>148068</xdr:rowOff>
    </xdr:to>
    <mc:AlternateContent xmlns:mc="http://schemas.openxmlformats.org/markup-compatibility/2006">
      <mc:Choice xmlns:a14="http://schemas.microsoft.com/office/drawing/2010/main" Requires="a14">
        <xdr:graphicFrame macro="">
          <xdr:nvGraphicFramePr>
            <xdr:cNvPr id="10" name="Employment_Type">
              <a:extLst>
                <a:ext uri="{FF2B5EF4-FFF2-40B4-BE49-F238E27FC236}">
                  <a16:creationId xmlns:a16="http://schemas.microsoft.com/office/drawing/2014/main" id="{B0ADC6F0-A94A-4446-D234-BDDDAE2A339A}"/>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dr:sp macro="" textlink="">
          <xdr:nvSpPr>
            <xdr:cNvPr id="0" name=""/>
            <xdr:cNvSpPr>
              <a:spLocks noTextEdit="1"/>
            </xdr:cNvSpPr>
          </xdr:nvSpPr>
          <xdr:spPr>
            <a:xfrm>
              <a:off x="18271779" y="1563567"/>
              <a:ext cx="1832152" cy="2614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601852</xdr:colOff>
      <xdr:row>13</xdr:row>
      <xdr:rowOff>169114</xdr:rowOff>
    </xdr:from>
    <xdr:to>
      <xdr:col>19</xdr:col>
      <xdr:colOff>0</xdr:colOff>
      <xdr:row>18</xdr:row>
      <xdr:rowOff>0</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CAEC20BF-2B22-CC7F-6B96-02C1E3D503A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855756" y="2550364"/>
              <a:ext cx="2438821" cy="746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91432</xdr:colOff>
      <xdr:row>5</xdr:row>
      <xdr:rowOff>0</xdr:rowOff>
    </xdr:from>
    <xdr:to>
      <xdr:col>1</xdr:col>
      <xdr:colOff>858407</xdr:colOff>
      <xdr:row>8</xdr:row>
      <xdr:rowOff>83370</xdr:rowOff>
    </xdr:to>
    <mc:AlternateContent xmlns:mc="http://schemas.openxmlformats.org/markup-compatibility/2006">
      <mc:Choice xmlns:a14="http://schemas.microsoft.com/office/drawing/2010/main" Requires="a14">
        <xdr:graphicFrame macro="">
          <xdr:nvGraphicFramePr>
            <xdr:cNvPr id="7" name="Department_Name">
              <a:extLst>
                <a:ext uri="{FF2B5EF4-FFF2-40B4-BE49-F238E27FC236}">
                  <a16:creationId xmlns:a16="http://schemas.microsoft.com/office/drawing/2014/main" id="{6BB4DD7A-C3B8-5D72-927C-6AED2B94881A}"/>
                </a:ext>
              </a:extLst>
            </xdr:cNvPr>
            <xdr:cNvGraphicFramePr/>
          </xdr:nvGraphicFramePr>
          <xdr:xfrm>
            <a:off x="0" y="0"/>
            <a:ext cx="0" cy="0"/>
          </xdr:xfrm>
          <a:graphic>
            <a:graphicData uri="http://schemas.microsoft.com/office/drawing/2010/slicer">
              <sle:slicer xmlns:sle="http://schemas.microsoft.com/office/drawing/2010/slicer" name="Department_Name"/>
            </a:graphicData>
          </a:graphic>
        </xdr:graphicFrame>
      </mc:Choice>
      <mc:Fallback>
        <xdr:sp macro="" textlink="">
          <xdr:nvSpPr>
            <xdr:cNvPr id="0" name=""/>
            <xdr:cNvSpPr>
              <a:spLocks noTextEdit="1"/>
            </xdr:cNvSpPr>
          </xdr:nvSpPr>
          <xdr:spPr>
            <a:xfrm>
              <a:off x="91432" y="915865"/>
              <a:ext cx="1616898" cy="632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kum" refreshedDate="46007.852037037039" createdVersion="8" refreshedVersion="8" minRefreshableVersion="3" recordCount="8" xr:uid="{D9977801-0DF3-453B-8A34-B5CDD410F3FA}">
  <cacheSource type="worksheet">
    <worksheetSource ref="A1:Q9" sheet="Sheet1"/>
  </cacheSource>
  <cacheFields count="20">
    <cacheField name="Emp_ID" numFmtId="0">
      <sharedItems/>
    </cacheField>
    <cacheField name="First_Name" numFmtId="0">
      <sharedItems/>
    </cacheField>
    <cacheField name="Last_Name" numFmtId="0">
      <sharedItems/>
    </cacheField>
    <cacheField name="Gender" numFmtId="0">
      <sharedItems count="2">
        <s v="Male"/>
        <s v="Female"/>
      </sharedItems>
    </cacheField>
    <cacheField name="DOB" numFmtId="14">
      <sharedItems containsSemiMixedTypes="0" containsNonDate="0" containsDate="1" containsString="0" minDate="1987-05-09T00:00:00" maxDate="2001-02-15T00:00:00"/>
    </cacheField>
    <cacheField name="Age" numFmtId="14">
      <sharedItems containsSemiMixedTypes="0" containsNonDate="0" containsDate="1" containsString="0" minDate="1900-01-23T00:00:00" maxDate="1900-02-07T00:00:00" count="8">
        <d v="1900-01-28T00:00:00"/>
        <d v="1900-01-26T00:00:00"/>
        <d v="1900-01-31T00:00:00"/>
        <d v="1900-01-25T00:00:00"/>
        <d v="1900-02-03T00:00:00"/>
        <d v="1900-01-30T00:00:00"/>
        <d v="1900-02-06T00:00:00"/>
        <d v="1900-01-23T00:00:00"/>
      </sharedItems>
    </cacheField>
    <cacheField name="Department_ID" numFmtId="0">
      <sharedItems/>
    </cacheField>
    <cacheField name="Department_Name" numFmtId="0">
      <sharedItems/>
    </cacheField>
    <cacheField name="Job_Title" numFmtId="0">
      <sharedItems/>
    </cacheField>
    <cacheField name="Maneger Name" numFmtId="0">
      <sharedItems containsBlank="1"/>
    </cacheField>
    <cacheField name="Hire_Date" numFmtId="14">
      <sharedItems containsSemiMixedTypes="0" containsNonDate="0" containsDate="1" containsString="0" minDate="2014-08-25T00:00:00" maxDate="2024-01-11T00:00:00" count="8">
        <d v="2021-06-10T00:00:00"/>
        <d v="2022-01-18T00:00:00"/>
        <d v="2019-09-01T00:00:00"/>
        <d v="2023-04-05T00:00:00"/>
        <d v="2016-02-15T00:00:00"/>
        <d v="2020-11-20T00:00:00"/>
        <d v="2014-08-25T00:00:00"/>
        <d v="2024-01-10T00:00:00"/>
      </sharedItems>
      <fieldGroup par="19"/>
    </cacheField>
    <cacheField name="Employment_Type" numFmtId="0">
      <sharedItems count="3">
        <s v="Full-Time"/>
        <s v="Contract"/>
        <s v="Part-Time"/>
      </sharedItems>
    </cacheField>
    <cacheField name="Phone" numFmtId="0">
      <sharedItems containsSemiMixedTypes="0" containsString="0" containsNumber="1" containsInteger="1" minValue="9811122233" maxValue="9898765432"/>
    </cacheField>
    <cacheField name="Email" numFmtId="0">
      <sharedItems/>
    </cacheField>
    <cacheField name="City" numFmtId="0">
      <sharedItems count="8">
        <s v="Bengaluru"/>
        <s v="Kolkata"/>
        <s v="Noida"/>
        <s v="Ahmedabad"/>
        <s v="Patna"/>
        <s v="Pune"/>
        <s v="Hyderabad"/>
        <s v="Kochi"/>
      </sharedItems>
    </cacheField>
    <cacheField name="Status" numFmtId="0">
      <sharedItems/>
    </cacheField>
    <cacheField name="Employee_Status_Category." numFmtId="0">
      <sharedItems/>
    </cacheField>
    <cacheField name="Months (Hire_Date)" numFmtId="0" databaseField="0">
      <fieldGroup base="10">
        <rangePr groupBy="months" startDate="2014-08-25T00:00:00" endDate="2024-01-11T00:00:00"/>
        <groupItems count="14">
          <s v="&lt;25-08-2014"/>
          <s v="Jan"/>
          <s v="Feb"/>
          <s v="Mar"/>
          <s v="Apr"/>
          <s v="May"/>
          <s v="Jun"/>
          <s v="Jul"/>
          <s v="Aug"/>
          <s v="Sep"/>
          <s v="Oct"/>
          <s v="Nov"/>
          <s v="Dec"/>
          <s v="&gt;11-01-2024"/>
        </groupItems>
      </fieldGroup>
    </cacheField>
    <cacheField name="Quarters (Hire_Date)" numFmtId="0" databaseField="0">
      <fieldGroup base="10">
        <rangePr groupBy="quarters" startDate="2014-08-25T00:00:00" endDate="2024-01-11T00:00:00"/>
        <groupItems count="6">
          <s v="&lt;25-08-2014"/>
          <s v="Qtr1"/>
          <s v="Qtr2"/>
          <s v="Qtr3"/>
          <s v="Qtr4"/>
          <s v="&gt;11-01-2024"/>
        </groupItems>
      </fieldGroup>
    </cacheField>
    <cacheField name="Years (Hire_Date)" numFmtId="0" databaseField="0">
      <fieldGroup base="10">
        <rangePr groupBy="years" startDate="2014-08-25T00:00:00" endDate="2024-01-11T00:00:00"/>
        <groupItems count="13">
          <s v="&lt;25-08-2014"/>
          <s v="2014"/>
          <s v="2015"/>
          <s v="2016"/>
          <s v="2017"/>
          <s v="2018"/>
          <s v="2019"/>
          <s v="2020"/>
          <s v="2021"/>
          <s v="2022"/>
          <s v="2023"/>
          <s v="2024"/>
          <s v="&gt;11-01-2024"/>
        </groupItems>
      </fieldGroup>
    </cacheField>
  </cacheFields>
  <extLst>
    <ext xmlns:x14="http://schemas.microsoft.com/office/spreadsheetml/2009/9/main" uri="{725AE2AE-9491-48be-B2B4-4EB974FC3084}">
      <x14:pivotCacheDefinition pivotCacheId="20788607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kum" refreshedDate="46008.768830555557" createdVersion="8" refreshedVersion="8" minRefreshableVersion="3" recordCount="8" xr:uid="{DA4F8B27-E683-4FF2-B552-57FDDF8C7059}">
  <cacheSource type="worksheet">
    <worksheetSource ref="A1:K9" sheet="Sheet3"/>
  </cacheSource>
  <cacheFields count="11">
    <cacheField name="Emp_ID" numFmtId="0">
      <sharedItems/>
    </cacheField>
    <cacheField name="Full_Name" numFmtId="0">
      <sharedItems/>
    </cacheField>
    <cacheField name="Department_Name" numFmtId="0">
      <sharedItems count="7">
        <s v="IT"/>
        <s v="HR"/>
        <s v="Finance"/>
        <s v="Marketing"/>
        <s v="Operations"/>
        <s v="Sales"/>
        <s v="Support"/>
      </sharedItems>
    </cacheField>
    <cacheField name="Basic_Salary" numFmtId="0">
      <sharedItems containsSemiMixedTypes="0" containsString="0" containsNumber="1" containsInteger="1" minValue="250000" maxValue="1100000"/>
    </cacheField>
    <cacheField name="HRA" numFmtId="0">
      <sharedItems containsSemiMixedTypes="0" containsString="0" containsNumber="1" containsInteger="1" minValue="50000" maxValue="220000"/>
    </cacheField>
    <cacheField name="DA" numFmtId="0">
      <sharedItems containsSemiMixedTypes="0" containsString="0" containsNumber="1" containsInteger="1" minValue="25000" maxValue="110000"/>
    </cacheField>
    <cacheField name="Bonus" numFmtId="0">
      <sharedItems containsSemiMixedTypes="0" containsString="0" containsNumber="1" containsInteger="1" minValue="10000" maxValue="150000"/>
    </cacheField>
    <cacheField name="Deductions" numFmtId="0">
      <sharedItems containsSemiMixedTypes="0" containsString="0" containsNumber="1" containsInteger="1" minValue="10000" maxValue="60000"/>
    </cacheField>
    <cacheField name="Gross_Salary" numFmtId="0">
      <sharedItems containsSemiMixedTypes="0" containsString="0" containsNumber="1" containsInteger="1" minValue="335000" maxValue="1580000"/>
    </cacheField>
    <cacheField name="Net_Salary" numFmtId="0">
      <sharedItems containsSemiMixedTypes="0" containsString="0" containsNumber="1" containsInteger="1" minValue="325000" maxValue="1520000"/>
    </cacheField>
    <cacheField name="Employment Type" numFmtId="0">
      <sharedItems count="3">
        <s v="Full-Time"/>
        <s v="Contract"/>
        <s v="Part-Time"/>
      </sharedItems>
    </cacheField>
  </cacheFields>
  <extLst>
    <ext xmlns:x14="http://schemas.microsoft.com/office/spreadsheetml/2009/9/main" uri="{725AE2AE-9491-48be-B2B4-4EB974FC3084}">
      <x14:pivotCacheDefinition pivotCacheId="955736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E001"/>
    <s v="Rahul"/>
    <s v="Sharma"/>
    <x v="0"/>
    <d v="1996-03-15T00:00:00"/>
    <x v="0"/>
    <s v="D01"/>
    <s v="IT"/>
    <s v="Software Engineer"/>
    <s v="Sunita Rao"/>
    <x v="0"/>
    <x v="0"/>
    <n v="9876543210"/>
    <s v="rahul.sharma@company.com"/>
    <x v="0"/>
    <s v="Active"/>
    <s v="Full-Time Active"/>
  </r>
  <r>
    <s v="E002"/>
    <s v="Priya"/>
    <s v="Verma"/>
    <x v="1"/>
    <d v="1998-08-22T00:00:00"/>
    <x v="1"/>
    <s v="D02"/>
    <s v="HR"/>
    <s v="HR Executive"/>
    <m/>
    <x v="1"/>
    <x v="0"/>
    <n v="9876501234"/>
    <s v="priya.verma@company.com"/>
    <x v="1"/>
    <s v="Active"/>
    <s v="Full-Time Active"/>
  </r>
  <r>
    <s v="E003"/>
    <s v="Aman"/>
    <s v="Singh"/>
    <x v="0"/>
    <d v="1993-11-05T00:00:00"/>
    <x v="2"/>
    <s v="D03"/>
    <s v="Finance"/>
    <s v="Financial Analyst"/>
    <s v="Ritika Jain"/>
    <x v="2"/>
    <x v="0"/>
    <n v="9898765432"/>
    <s v="aman.singh@company.com"/>
    <x v="2"/>
    <s v="Active"/>
    <s v="Full-Time Active"/>
  </r>
  <r>
    <s v="E004"/>
    <s v="Neha"/>
    <s v="Patel"/>
    <x v="1"/>
    <d v="1999-01-30T00:00:00"/>
    <x v="3"/>
    <s v="D04"/>
    <s v="Marketing"/>
    <s v="Digital Marketer"/>
    <s v="Vikas Yadav"/>
    <x v="3"/>
    <x v="1"/>
    <n v="9812345678"/>
    <s v="neha.patel@company.com"/>
    <x v="3"/>
    <s v="Inactive"/>
    <s v="Part-Time Inactive"/>
  </r>
  <r>
    <s v="E005"/>
    <s v="Rohit"/>
    <s v="Kumar"/>
    <x v="0"/>
    <d v="1990-07-12T00:00:00"/>
    <x v="4"/>
    <s v="D05"/>
    <s v="Operations"/>
    <s v="Operations Manager"/>
    <s v="Rohit Kumar"/>
    <x v="4"/>
    <x v="0"/>
    <n v="9823456789"/>
    <s v="rohit.kumar@company.com"/>
    <x v="4"/>
    <s v="Active"/>
    <s v="Full-Time Active"/>
  </r>
  <r>
    <s v="E006"/>
    <s v="Anjali"/>
    <s v="Mehta"/>
    <x v="1"/>
    <d v="1994-10-18T00:00:00"/>
    <x v="5"/>
    <s v="D01"/>
    <s v="IT"/>
    <s v="QA Engineer"/>
    <s v="Sunita Rao"/>
    <x v="5"/>
    <x v="0"/>
    <n v="9887654321"/>
    <s v="anjali.mehta@company.com"/>
    <x v="5"/>
    <s v="Active"/>
    <s v="Full-Time Active"/>
  </r>
  <r>
    <s v="E007"/>
    <s v="Suresh"/>
    <s v="Reddy"/>
    <x v="0"/>
    <d v="1987-05-09T00:00:00"/>
    <x v="6"/>
    <s v="D06"/>
    <s v="Sales"/>
    <s v="Sales Manager"/>
    <s v="Ramesh Iyer"/>
    <x v="6"/>
    <x v="0"/>
    <n v="9871234567"/>
    <s v="suresh.reddy@company.com"/>
    <x v="6"/>
    <s v="Active"/>
    <s v="Full-Time Active"/>
  </r>
  <r>
    <s v="E008"/>
    <s v="Kavya"/>
    <s v="Nair"/>
    <x v="1"/>
    <d v="2001-02-14T00:00:00"/>
    <x v="7"/>
    <s v="D07"/>
    <s v="Support"/>
    <s v="Support Executive"/>
    <s v="Shalini Saxena"/>
    <x v="7"/>
    <x v="2"/>
    <n v="9811122233"/>
    <s v="kavya.nair@company.com"/>
    <x v="7"/>
    <s v="Inctive"/>
    <s v="Part-Time Inactiv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E001"/>
    <s v="Rahul Sharma"/>
    <x v="0"/>
    <n v="600000"/>
    <n v="120000"/>
    <n v="60000"/>
    <n v="50000"/>
    <n v="30000"/>
    <n v="830000"/>
    <n v="800000"/>
    <x v="0"/>
  </r>
  <r>
    <s v="E002"/>
    <s v="Priya Verma"/>
    <x v="1"/>
    <n v="400000"/>
    <n v="80000"/>
    <n v="40000"/>
    <n v="30000"/>
    <n v="20000"/>
    <n v="550000"/>
    <n v="530000"/>
    <x v="1"/>
  </r>
  <r>
    <s v="E003"/>
    <s v="Aman Singh"/>
    <x v="2"/>
    <n v="700000"/>
    <n v="140000"/>
    <n v="70000"/>
    <n v="80000"/>
    <n v="40000"/>
    <n v="990000"/>
    <n v="950000"/>
    <x v="0"/>
  </r>
  <r>
    <s v="E004"/>
    <s v="Neha Patel"/>
    <x v="3"/>
    <n v="350000"/>
    <n v="70000"/>
    <n v="35000"/>
    <n v="20000"/>
    <n v="15000"/>
    <n v="475000"/>
    <n v="460000"/>
    <x v="1"/>
  </r>
  <r>
    <s v="E005"/>
    <s v="Rohit Kumar"/>
    <x v="4"/>
    <n v="900000"/>
    <n v="180000"/>
    <n v="90000"/>
    <n v="100000"/>
    <n v="50000"/>
    <n v="1270000"/>
    <n v="1220000"/>
    <x v="0"/>
  </r>
  <r>
    <s v="E006"/>
    <s v="Anjali Mehta"/>
    <x v="0"/>
    <n v="500000"/>
    <n v="100000"/>
    <n v="50000"/>
    <n v="45000"/>
    <n v="25000"/>
    <n v="695000"/>
    <n v="670000"/>
    <x v="0"/>
  </r>
  <r>
    <s v="E007"/>
    <s v="Suresh Reddy"/>
    <x v="5"/>
    <n v="1100000"/>
    <n v="220000"/>
    <n v="110000"/>
    <n v="150000"/>
    <n v="60000"/>
    <n v="1580000"/>
    <n v="1520000"/>
    <x v="0"/>
  </r>
  <r>
    <s v="E008"/>
    <s v="Kavya Nair"/>
    <x v="6"/>
    <n v="250000"/>
    <n v="50000"/>
    <n v="25000"/>
    <n v="10000"/>
    <n v="10000"/>
    <n v="335000"/>
    <n v="325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A13C24-B677-4732-B2EC-E45730E53E3A}" name="PivotTable4"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4">
  <location ref="F18:G27" firstHeaderRow="1" firstDataRow="1" firstDataCol="1"/>
  <pivotFields count="20">
    <pivotField dataField="1" showAll="0"/>
    <pivotField showAll="0"/>
    <pivotField showAll="0"/>
    <pivotField showAll="0"/>
    <pivotField numFmtId="14" showAll="0"/>
    <pivotField numFmtId="14" showAll="0">
      <items count="9">
        <item x="7"/>
        <item x="3"/>
        <item x="1"/>
        <item x="0"/>
        <item x="5"/>
        <item x="2"/>
        <item x="4"/>
        <item x="6"/>
        <item t="default"/>
      </items>
    </pivotField>
    <pivotField showAll="0"/>
    <pivotField showAll="0"/>
    <pivotField showAll="0"/>
    <pivotField showAll="0"/>
    <pivotField axis="axisRow" numFmtId="14" showAll="0">
      <items count="9">
        <item x="6"/>
        <item x="4"/>
        <item x="2"/>
        <item x="5"/>
        <item x="0"/>
        <item x="1"/>
        <item x="3"/>
        <item x="7"/>
        <item t="default"/>
      </items>
    </pivotField>
    <pivotField showAll="0">
      <items count="4">
        <item x="1"/>
        <item x="0"/>
        <item x="2"/>
        <item t="default"/>
      </items>
    </pivotField>
    <pivotField showAll="0"/>
    <pivotField showAll="0"/>
    <pivotField showAll="0">
      <items count="9">
        <item x="3"/>
        <item x="0"/>
        <item x="6"/>
        <item x="7"/>
        <item x="1"/>
        <item x="2"/>
        <item x="4"/>
        <item x="5"/>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3">
    <field x="19"/>
    <field x="10"/>
    <field x="17"/>
  </rowFields>
  <rowItems count="9">
    <i>
      <x v="1"/>
    </i>
    <i>
      <x v="3"/>
    </i>
    <i>
      <x v="6"/>
    </i>
    <i>
      <x v="7"/>
    </i>
    <i>
      <x v="8"/>
    </i>
    <i>
      <x v="9"/>
    </i>
    <i>
      <x v="10"/>
    </i>
    <i>
      <x v="11"/>
    </i>
    <i t="grand">
      <x/>
    </i>
  </rowItems>
  <colItems count="1">
    <i/>
  </colItems>
  <dataFields count="1">
    <dataField name="Count of Emp_ID" fld="0" subtotal="count" baseField="0" baseItem="0"/>
  </dataFields>
  <chartFormats count="1">
    <chartFormat chart="6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18" name="Ag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F9381E-7153-46E1-BBD3-DB49ED6A3C5F}"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D13:F21" firstHeaderRow="0" firstDataRow="1" firstDataCol="1"/>
  <pivotFields count="11">
    <pivotField showAll="0"/>
    <pivotField showAll="0"/>
    <pivotField axis="axisRow" showAll="0">
      <items count="8">
        <item x="2"/>
        <item x="1"/>
        <item x="0"/>
        <item x="3"/>
        <item x="4"/>
        <item x="5"/>
        <item x="6"/>
        <item t="default"/>
      </items>
    </pivotField>
    <pivotField showAll="0"/>
    <pivotField showAll="0"/>
    <pivotField showAll="0"/>
    <pivotField dataField="1" showAll="0"/>
    <pivotField dataField="1" showAll="0"/>
    <pivotField showAll="0"/>
    <pivotField showAll="0"/>
    <pivotField showAll="0">
      <items count="4">
        <item x="1"/>
        <item x="0"/>
        <item x="2"/>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Bonus" fld="6" baseField="0" baseItem="0"/>
    <dataField name="Sum of Deductions" fld="7" baseField="0" baseItem="0"/>
  </dataFields>
  <chartFormats count="2">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251807-0F98-4E45-B949-A79A12FC93B8}"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3:C17" firstHeaderRow="1" firstDataRow="1" firstDataCol="1"/>
  <pivotFields count="11">
    <pivotField showAll="0"/>
    <pivotField showAll="0"/>
    <pivotField showAll="0"/>
    <pivotField dataField="1" showAll="0"/>
    <pivotField showAll="0"/>
    <pivotField showAll="0"/>
    <pivotField showAll="0"/>
    <pivotField showAll="0"/>
    <pivotField showAll="0"/>
    <pivotField showAll="0"/>
    <pivotField axis="axisRow" showAll="0">
      <items count="4">
        <item x="1"/>
        <item x="0"/>
        <item x="2"/>
        <item t="default"/>
      </items>
    </pivotField>
  </pivotFields>
  <rowFields count="1">
    <field x="10"/>
  </rowFields>
  <rowItems count="4">
    <i>
      <x/>
    </i>
    <i>
      <x v="1"/>
    </i>
    <i>
      <x v="2"/>
    </i>
    <i t="grand">
      <x/>
    </i>
  </rowItems>
  <colItems count="1">
    <i/>
  </colItems>
  <dataFields count="1">
    <dataField name="Sum of Basic_Salary" fld="3"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D5536B33-03F5-442C-99AB-EAEE76A727B8}" sourceName="Department_Name">
  <pivotTables>
    <pivotTable tabId="3" name="PivotTable5"/>
  </pivotTables>
  <data>
    <tabular pivotCacheId="955736299">
      <items count="7">
        <i x="2" s="1"/>
        <i x="1" s="1"/>
        <i x="0"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FE2168CF-D90B-47AC-B49A-9A0BD867DB20}" sourceName="Employment Type">
  <pivotTables>
    <pivotTable tabId="3" name="PivotTable5"/>
    <pivotTable tabId="3" name="PivotTable3"/>
  </pivotTables>
  <data>
    <tabular pivotCacheId="95573629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1" xr10:uid="{5BC91020-E46D-45AF-89E7-C5A0D0DB861C}" sourceName="Employment_Type">
  <pivotTables>
    <pivotTable tabId="1" name="PivotTable4"/>
  </pivotTables>
  <data>
    <tabular pivotCacheId="2078860787">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9C42F05-6D7A-4815-88E6-7D61B2159A59}" sourceName="City">
  <pivotTables>
    <pivotTable tabId="1" name="PivotTable4"/>
  </pivotTables>
  <data>
    <tabular pivotCacheId="2078860787">
      <items count="8">
        <i x="3" s="1" nd="1"/>
        <i x="0" s="1" nd="1"/>
        <i x="6" s="1" nd="1"/>
        <i x="7" s="1" nd="1"/>
        <i x="1" s="1" nd="1"/>
        <i x="2" s="1" nd="1"/>
        <i x="4"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_Name" xr10:uid="{B0DE2FD9-3799-4F57-B649-6914043F74C9}" cache="Slicer_Department_Name" caption="Department_Name" rowHeight="252000"/>
  <slicer name="Employment Type" xr10:uid="{99688CDE-3AC8-42B0-94B2-210E1D56D271}" cache="Slicer_Employment_Type" caption="Employment Type" rowHeight="247650"/>
  <slicer name="Employment_Type" xr10:uid="{9044A346-7C0A-450D-9B92-8D04E89B6675}" cache="Slicer_Employment_Type1" caption="Employment_Type" rowHeight="247650"/>
  <slicer name="City" xr10:uid="{9ED79AF3-E0E9-437F-8A6D-0034F2BA7006}" cache="Slicer_City" caption="City"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64F7F6-63AD-43FC-8054-383817329C66}" name="Table1" displayName="Table1" ref="A1:Q9" totalsRowShown="0" headerRowDxfId="24" dataDxfId="25">
  <autoFilter ref="A1:Q9" xr:uid="{5464F7F6-63AD-43FC-8054-383817329C66}"/>
  <tableColumns count="17">
    <tableColumn id="1" xr3:uid="{2438CC2B-B7E3-4904-9458-990FAFE87CF3}" name="Emp_ID" dataDxfId="42"/>
    <tableColumn id="2" xr3:uid="{B5CD844A-5CF0-4664-8DC7-D8D01975D124}" name="First_Name" dataDxfId="41"/>
    <tableColumn id="3" xr3:uid="{9CC9CC62-7296-4D03-928F-988DE80C7CF3}" name="Last_Name" dataDxfId="40"/>
    <tableColumn id="4" xr3:uid="{2788DE59-79DA-4580-BEDD-F3E4B8E66F69}" name="Gender" dataDxfId="39"/>
    <tableColumn id="5" xr3:uid="{83E733B5-8607-417B-8595-7988848300FD}" name="DOB" dataDxfId="38"/>
    <tableColumn id="6" xr3:uid="{75CB9FA7-A332-448E-B455-10036A141807}" name="Age" dataDxfId="37"/>
    <tableColumn id="7" xr3:uid="{D9CCD09E-59B3-4F14-BCA2-21BF5DEF10A7}" name="Department_ID" dataDxfId="36"/>
    <tableColumn id="8" xr3:uid="{2F1E8761-7D77-4C6F-81FE-7A804A9E2867}" name="Department_Name" dataDxfId="35">
      <calculatedColumnFormula>VLOOKUP(Sheet1!G2, Department_details,2, FALSE)</calculatedColumnFormula>
    </tableColumn>
    <tableColumn id="9" xr3:uid="{66F7951D-5D5A-4159-97CC-55C8D2B3D7AE}" name="Job_Title" dataDxfId="34"/>
    <tableColumn id="10" xr3:uid="{8B8A999C-3A67-492C-A7CE-92662CA63E27}" name="Maneger Name" dataDxfId="33">
      <calculatedColumnFormula>VLOOKUP(H2,Sheet2!B:C,2,FALSE)</calculatedColumnFormula>
    </tableColumn>
    <tableColumn id="11" xr3:uid="{A7756C3C-72BB-4B4C-AC3C-BC7C7CEDAD4A}" name="Hire_Date" dataDxfId="32"/>
    <tableColumn id="12" xr3:uid="{543B627B-5A40-4303-AD73-107DA357BF21}" name="Employment_Type" dataDxfId="31"/>
    <tableColumn id="13" xr3:uid="{0486FB56-F5B6-4D6C-BB8C-1F6F50F25620}" name="Phone" dataDxfId="30"/>
    <tableColumn id="14" xr3:uid="{720FF9CD-DFE0-4685-8B6A-9194D4ADFA45}" name="Email" dataDxfId="29"/>
    <tableColumn id="15" xr3:uid="{0B812180-F08D-4408-8258-16E4087D5ACF}" name="City" dataDxfId="28"/>
    <tableColumn id="16" xr3:uid="{2A5AE7A0-830E-4BEE-8708-1E19AD4343F9}" name="Status" dataDxfId="27"/>
    <tableColumn id="17" xr3:uid="{23E8FB4B-1059-45C0-8E08-78FBFFB62A5B}" name="Employee_Status_Category." dataDxfId="26">
      <calculatedColumnFormula>IF(AND(L2="Full-Time", P2="Active"), "Full-Time Active",
IF(AND(L2="Full-Time", P2="Inactive"), "Full-Time Inactive",
IF(AND(L2="Part-Time", P2="Active"), "Part-Time Active",
"Part-Time Inactive")))</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99A812-F6CC-43CE-A10E-F8CC70A29C57}" name="Table2" displayName="Table2" ref="A1:D8" totalsRowShown="0" headerRowDxfId="18" dataDxfId="19">
  <autoFilter ref="A1:D8" xr:uid="{8E99A812-F6CC-43CE-A10E-F8CC70A29C57}"/>
  <tableColumns count="4">
    <tableColumn id="1" xr3:uid="{DDC9A66F-AB20-4383-A056-D3B86E2FB8B2}" name="Department_ID" dataDxfId="23"/>
    <tableColumn id="2" xr3:uid="{5483FCB4-E12F-4947-8FD1-5E6B107EDEFF}" name="Department_Name" dataDxfId="22"/>
    <tableColumn id="3" xr3:uid="{D38325FE-5D28-464D-BF2F-1936FB22735B}" name="Manager_Name" dataDxfId="21"/>
    <tableColumn id="4" xr3:uid="{B4CA6D2A-D3EA-48DA-8A41-0D78B7B92D13}" name="Location" dataDxfId="20"/>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200C6B-BC0C-4718-A081-1476B3D7924A}" name="Table3" displayName="Table3" ref="A1:K9" totalsRowShown="0" headerRowDxfId="6" dataDxfId="7">
  <autoFilter ref="A1:K9" xr:uid="{7E200C6B-BC0C-4718-A081-1476B3D7924A}"/>
  <tableColumns count="11">
    <tableColumn id="1" xr3:uid="{BBCF65DE-AEA2-44ED-9436-343A220E0669}" name="Emp_ID" dataDxfId="17"/>
    <tableColumn id="2" xr3:uid="{B98CE4FE-0853-444B-BE45-E8D0B9371279}" name="Full_Name" dataDxfId="16">
      <calculatedColumnFormula>VLOOKUP(A2, Sheet1!$A:$C, 2, FALSE) &amp; " " &amp; VLOOKUP(A2, Sheet1!$A:$C, 3, FALSE)</calculatedColumnFormula>
    </tableColumn>
    <tableColumn id="3" xr3:uid="{6F413FF2-651E-415E-B560-E076A3AC158C}" name="Department_Name" dataDxfId="15">
      <calculatedColumnFormula>INDEX(Sheet1!$H:$H, MATCH(A2, Sheet1!$A:$A, 0))</calculatedColumnFormula>
    </tableColumn>
    <tableColumn id="4" xr3:uid="{4B7436CE-E356-43B6-AAAD-23BDE64FDB9F}" name="Basic_Salary" dataDxfId="14"/>
    <tableColumn id="5" xr3:uid="{0F5B467D-3B49-459B-A8C8-7C5F8C629331}" name="HRA" dataDxfId="13"/>
    <tableColumn id="6" xr3:uid="{195D03CD-5A52-49DF-8717-AAE18106B122}" name="DA" dataDxfId="12"/>
    <tableColumn id="7" xr3:uid="{84164485-23C9-41D3-BBB2-24CB664D66F7}" name="Bonus" dataDxfId="11"/>
    <tableColumn id="8" xr3:uid="{9BF8B751-AD00-4120-B437-C81CBB4BB1EC}" name="Deductions" dataDxfId="10"/>
    <tableColumn id="9" xr3:uid="{476D2869-7D9E-4E80-88A2-A3EC16C8A9F9}" name="Gross_Salary" dataDxfId="9">
      <calculatedColumnFormula>SUM(D2:G2)</calculatedColumnFormula>
    </tableColumn>
    <tableColumn id="10" xr3:uid="{85B53EC6-2B7E-409F-B69C-E36A41056233}" name="Net_Salary" dataDxfId="8">
      <calculatedColumnFormula>I2-H2</calculatedColumnFormula>
    </tableColumn>
    <tableColumn id="11" xr3:uid="{E3D417DC-33AE-4AC0-A6F8-0A73F29D5031}" name="Employment Type">
      <calculatedColumnFormula>VLOOKUP(A2, Sheet1!A:L, 12, 0)</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FF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AEBE8-FA28-4B17-A56D-3CC39C6D2176}">
  <dimension ref="A1:R27"/>
  <sheetViews>
    <sheetView topLeftCell="C1" zoomScale="96" workbookViewId="0">
      <selection activeCell="I16" sqref="I16"/>
    </sheetView>
  </sheetViews>
  <sheetFormatPr defaultRowHeight="14.4" x14ac:dyDescent="0.3"/>
  <cols>
    <col min="1" max="1" width="9.44140625" customWidth="1"/>
    <col min="2" max="2" width="12.88671875" customWidth="1"/>
    <col min="3" max="3" width="12.5546875" customWidth="1"/>
    <col min="4" max="4" width="9.21875" customWidth="1"/>
    <col min="5" max="6" width="13" bestFit="1" customWidth="1"/>
    <col min="7" max="7" width="16" customWidth="1"/>
    <col min="8" max="8" width="19.33203125" customWidth="1"/>
    <col min="9" max="9" width="17.44140625" customWidth="1"/>
    <col min="10" max="10" width="15.77734375" customWidth="1"/>
    <col min="11" max="11" width="11.44140625" customWidth="1"/>
    <col min="12" max="12" width="18.77734375" customWidth="1"/>
    <col min="13" max="13" width="11.6640625" bestFit="1" customWidth="1"/>
    <col min="14" max="14" width="25.21875" customWidth="1"/>
    <col min="15" max="15" width="10.6640625" customWidth="1"/>
    <col min="16" max="16" width="15.44140625" customWidth="1"/>
    <col min="17" max="17" width="26.88671875" customWidth="1"/>
    <col min="18" max="18" width="10.33203125" customWidth="1"/>
  </cols>
  <sheetData>
    <row r="1" spans="1:18" s="4" customFormat="1" x14ac:dyDescent="0.3">
      <c r="A1" s="6" t="s">
        <v>0</v>
      </c>
      <c r="B1" s="6" t="s">
        <v>1</v>
      </c>
      <c r="C1" s="6" t="s">
        <v>2</v>
      </c>
      <c r="D1" s="6" t="s">
        <v>3</v>
      </c>
      <c r="E1" s="6" t="s">
        <v>5</v>
      </c>
      <c r="F1" s="6" t="s">
        <v>4</v>
      </c>
      <c r="G1" s="6" t="s">
        <v>78</v>
      </c>
      <c r="H1" s="7" t="s">
        <v>87</v>
      </c>
      <c r="I1" s="6" t="s">
        <v>9</v>
      </c>
      <c r="J1" s="8" t="s">
        <v>105</v>
      </c>
      <c r="K1" s="6" t="s">
        <v>11</v>
      </c>
      <c r="L1" s="6" t="s">
        <v>10</v>
      </c>
      <c r="M1" s="6" t="s">
        <v>7</v>
      </c>
      <c r="N1" s="6" t="s">
        <v>6</v>
      </c>
      <c r="O1" s="6" t="s">
        <v>8</v>
      </c>
      <c r="P1" s="6" t="s">
        <v>13</v>
      </c>
      <c r="Q1" s="14" t="s">
        <v>111</v>
      </c>
    </row>
    <row r="2" spans="1:18" x14ac:dyDescent="0.3">
      <c r="A2" s="2" t="s">
        <v>14</v>
      </c>
      <c r="B2" s="2" t="s">
        <v>15</v>
      </c>
      <c r="C2" s="2" t="s">
        <v>16</v>
      </c>
      <c r="D2" s="2" t="s">
        <v>17</v>
      </c>
      <c r="E2" s="3">
        <v>35139</v>
      </c>
      <c r="F2" s="3">
        <v>29</v>
      </c>
      <c r="G2" s="2" t="s">
        <v>79</v>
      </c>
      <c r="H2" s="5" t="str">
        <f>VLOOKUP(Sheet1!G2, Department_details,2, FALSE)</f>
        <v>IT</v>
      </c>
      <c r="I2" s="2" t="s">
        <v>21</v>
      </c>
      <c r="J2" s="9" t="str">
        <f>VLOOKUP(H2,Sheet2!B:C,2,FALSE)</f>
        <v>Sunita Rao</v>
      </c>
      <c r="K2" s="3">
        <v>44357</v>
      </c>
      <c r="L2" s="2" t="s">
        <v>22</v>
      </c>
      <c r="M2" s="2">
        <v>9876543210</v>
      </c>
      <c r="N2" s="2" t="s">
        <v>18</v>
      </c>
      <c r="O2" s="2" t="s">
        <v>19</v>
      </c>
      <c r="P2" s="2" t="s">
        <v>23</v>
      </c>
      <c r="Q2" s="15" t="str">
        <f>IF(AND(L2="Full-Time", P2="Active"), "Full-Time Active",
IF(AND(L2="Full-Time", P2="Inactive"), "Full-Time Inactive",
IF(AND(L2="Part-Time", P2="Active"), "Part-Time Active",
"Part-Time Inactive")))</f>
        <v>Full-Time Active</v>
      </c>
      <c r="R2" s="4" t="s">
        <v>103</v>
      </c>
    </row>
    <row r="3" spans="1:18" x14ac:dyDescent="0.3">
      <c r="A3" s="2" t="s">
        <v>24</v>
      </c>
      <c r="B3" s="2" t="s">
        <v>25</v>
      </c>
      <c r="C3" s="2" t="s">
        <v>26</v>
      </c>
      <c r="D3" s="2" t="s">
        <v>27</v>
      </c>
      <c r="E3" s="3">
        <v>36029</v>
      </c>
      <c r="F3" s="3">
        <v>27</v>
      </c>
      <c r="G3" s="2" t="s">
        <v>80</v>
      </c>
      <c r="H3" s="5" t="str">
        <f>VLOOKUP(Sheet1!G3, Department_details,2, FALSE)</f>
        <v>HR</v>
      </c>
      <c r="I3" s="2" t="s">
        <v>31</v>
      </c>
      <c r="J3" s="9"/>
      <c r="K3" s="3">
        <v>44579</v>
      </c>
      <c r="L3" s="2" t="s">
        <v>22</v>
      </c>
      <c r="M3" s="2">
        <v>9876501234</v>
      </c>
      <c r="N3" s="2" t="s">
        <v>28</v>
      </c>
      <c r="O3" s="2" t="s">
        <v>29</v>
      </c>
      <c r="P3" s="2" t="s">
        <v>23</v>
      </c>
      <c r="Q3" s="15" t="str">
        <f t="shared" ref="Q3:Q9" si="0">IF(AND(L3="Full-Time", P3="Active"), "Full-Time Active",
IF(AND(L3="Full-Time", P3="Inactive"), "Full-Time Inactive",
IF(AND(L3="Part-Time", P3="Active"), "Part-Time Active",
"Part-Time Inactive")))</f>
        <v>Full-Time Active</v>
      </c>
      <c r="R3" s="4" t="s">
        <v>104</v>
      </c>
    </row>
    <row r="4" spans="1:18" x14ac:dyDescent="0.3">
      <c r="A4" s="2" t="s">
        <v>32</v>
      </c>
      <c r="B4" s="2" t="s">
        <v>33</v>
      </c>
      <c r="C4" s="2" t="s">
        <v>34</v>
      </c>
      <c r="D4" s="2" t="s">
        <v>17</v>
      </c>
      <c r="E4" s="3">
        <v>34278</v>
      </c>
      <c r="F4" s="3">
        <v>32</v>
      </c>
      <c r="G4" s="2" t="s">
        <v>81</v>
      </c>
      <c r="H4" s="5" t="str">
        <f>VLOOKUP(Sheet1!G4, Department_details,2, FALSE)</f>
        <v>Finance</v>
      </c>
      <c r="I4" s="2" t="s">
        <v>38</v>
      </c>
      <c r="J4" s="9" t="str">
        <f>VLOOKUP(H4,Sheet2!B:C,2,FALSE)</f>
        <v>Ritika Jain</v>
      </c>
      <c r="K4" s="3">
        <v>43709</v>
      </c>
      <c r="L4" s="2" t="s">
        <v>22</v>
      </c>
      <c r="M4" s="2">
        <v>9898765432</v>
      </c>
      <c r="N4" s="2" t="s">
        <v>35</v>
      </c>
      <c r="O4" s="2" t="s">
        <v>36</v>
      </c>
      <c r="P4" s="2" t="s">
        <v>23</v>
      </c>
      <c r="Q4" s="15" t="str">
        <f t="shared" si="0"/>
        <v>Full-Time Active</v>
      </c>
      <c r="R4" s="4" t="s">
        <v>113</v>
      </c>
    </row>
    <row r="5" spans="1:18" x14ac:dyDescent="0.3">
      <c r="A5" s="2" t="s">
        <v>39</v>
      </c>
      <c r="B5" s="2" t="s">
        <v>40</v>
      </c>
      <c r="C5" s="2" t="s">
        <v>41</v>
      </c>
      <c r="D5" s="2" t="s">
        <v>27</v>
      </c>
      <c r="E5" s="3">
        <v>36190</v>
      </c>
      <c r="F5" s="3">
        <v>26</v>
      </c>
      <c r="G5" s="2" t="s">
        <v>82</v>
      </c>
      <c r="H5" s="5" t="str">
        <f>VLOOKUP(Sheet1!G5, Department_details,2, FALSE)</f>
        <v>Marketing</v>
      </c>
      <c r="I5" s="2" t="s">
        <v>45</v>
      </c>
      <c r="J5" s="9" t="str">
        <f>VLOOKUP(H5,Sheet2!B:C,2,FALSE)</f>
        <v>Vikas Yadav</v>
      </c>
      <c r="K5" s="3">
        <v>45021</v>
      </c>
      <c r="L5" s="2" t="s">
        <v>46</v>
      </c>
      <c r="M5" s="2">
        <v>9812345678</v>
      </c>
      <c r="N5" s="2" t="s">
        <v>42</v>
      </c>
      <c r="O5" s="2" t="s">
        <v>43</v>
      </c>
      <c r="P5" s="2" t="s">
        <v>109</v>
      </c>
      <c r="Q5" s="15" t="str">
        <f t="shared" si="0"/>
        <v>Part-Time Inactive</v>
      </c>
      <c r="R5" s="1"/>
    </row>
    <row r="6" spans="1:18" x14ac:dyDescent="0.3">
      <c r="A6" s="2" t="s">
        <v>47</v>
      </c>
      <c r="B6" s="2" t="s">
        <v>48</v>
      </c>
      <c r="C6" s="2" t="s">
        <v>49</v>
      </c>
      <c r="D6" s="2" t="s">
        <v>17</v>
      </c>
      <c r="E6" s="3">
        <v>33066</v>
      </c>
      <c r="F6" s="3">
        <v>35</v>
      </c>
      <c r="G6" s="2" t="s">
        <v>83</v>
      </c>
      <c r="H6" s="5" t="str">
        <f>VLOOKUP(Sheet1!G6, Department_details,2, FALSE)</f>
        <v>Operations</v>
      </c>
      <c r="I6" s="2" t="s">
        <v>53</v>
      </c>
      <c r="J6" s="9" t="str">
        <f>VLOOKUP(H6,Sheet2!B:C,2,FALSE)</f>
        <v>Rohit Kumar</v>
      </c>
      <c r="K6" s="3">
        <v>42415</v>
      </c>
      <c r="L6" s="2" t="s">
        <v>22</v>
      </c>
      <c r="M6" s="2">
        <v>9823456789</v>
      </c>
      <c r="N6" s="2" t="s">
        <v>50</v>
      </c>
      <c r="O6" s="2" t="s">
        <v>51</v>
      </c>
      <c r="P6" s="2" t="s">
        <v>23</v>
      </c>
      <c r="Q6" s="15" t="str">
        <f t="shared" si="0"/>
        <v>Full-Time Active</v>
      </c>
      <c r="R6" s="1"/>
    </row>
    <row r="7" spans="1:18" x14ac:dyDescent="0.3">
      <c r="A7" s="2" t="s">
        <v>54</v>
      </c>
      <c r="B7" s="2" t="s">
        <v>55</v>
      </c>
      <c r="C7" s="2" t="s">
        <v>56</v>
      </c>
      <c r="D7" s="2" t="s">
        <v>27</v>
      </c>
      <c r="E7" s="3">
        <v>34625</v>
      </c>
      <c r="F7" s="3">
        <v>31</v>
      </c>
      <c r="G7" s="2" t="s">
        <v>79</v>
      </c>
      <c r="H7" s="5" t="str">
        <f>VLOOKUP(Sheet1!G7, Department_details,2, FALSE)</f>
        <v>IT</v>
      </c>
      <c r="I7" s="2" t="s">
        <v>59</v>
      </c>
      <c r="J7" s="9" t="str">
        <f>VLOOKUP(H7,Sheet2!B:C,2,FALSE)</f>
        <v>Sunita Rao</v>
      </c>
      <c r="K7" s="3">
        <v>44155</v>
      </c>
      <c r="L7" s="2" t="s">
        <v>22</v>
      </c>
      <c r="M7" s="2">
        <v>9887654321</v>
      </c>
      <c r="N7" s="2" t="s">
        <v>57</v>
      </c>
      <c r="O7" s="2" t="s">
        <v>58</v>
      </c>
      <c r="P7" s="2" t="s">
        <v>23</v>
      </c>
      <c r="Q7" s="15" t="str">
        <f t="shared" si="0"/>
        <v>Full-Time Active</v>
      </c>
      <c r="R7" s="1"/>
    </row>
    <row r="8" spans="1:18" x14ac:dyDescent="0.3">
      <c r="A8" s="2" t="s">
        <v>60</v>
      </c>
      <c r="B8" s="2" t="s">
        <v>61</v>
      </c>
      <c r="C8" s="2" t="s">
        <v>62</v>
      </c>
      <c r="D8" s="2" t="s">
        <v>17</v>
      </c>
      <c r="E8" s="3">
        <v>31906</v>
      </c>
      <c r="F8" s="3">
        <v>38</v>
      </c>
      <c r="G8" s="2" t="s">
        <v>84</v>
      </c>
      <c r="H8" s="5" t="str">
        <f>VLOOKUP(Sheet1!G8, Department_details,2, FALSE)</f>
        <v>Sales</v>
      </c>
      <c r="I8" s="2" t="s">
        <v>66</v>
      </c>
      <c r="J8" s="9" t="str">
        <f>VLOOKUP(H8,Sheet2!B:C,2,FALSE)</f>
        <v>Ramesh Iyer</v>
      </c>
      <c r="K8" s="3">
        <v>41876</v>
      </c>
      <c r="L8" s="2" t="s">
        <v>22</v>
      </c>
      <c r="M8" s="2">
        <v>9871234567</v>
      </c>
      <c r="N8" s="2" t="s">
        <v>63</v>
      </c>
      <c r="O8" s="2" t="s">
        <v>64</v>
      </c>
      <c r="P8" s="2" t="s">
        <v>23</v>
      </c>
      <c r="Q8" s="15" t="str">
        <f t="shared" si="0"/>
        <v>Full-Time Active</v>
      </c>
      <c r="R8" s="1"/>
    </row>
    <row r="9" spans="1:18" x14ac:dyDescent="0.3">
      <c r="A9" s="2" t="s">
        <v>67</v>
      </c>
      <c r="B9" s="2" t="s">
        <v>68</v>
      </c>
      <c r="C9" s="2" t="s">
        <v>69</v>
      </c>
      <c r="D9" s="2" t="s">
        <v>27</v>
      </c>
      <c r="E9" s="3">
        <v>36936</v>
      </c>
      <c r="F9" s="3">
        <v>24</v>
      </c>
      <c r="G9" s="2" t="s">
        <v>85</v>
      </c>
      <c r="H9" s="5" t="str">
        <f>VLOOKUP(Sheet1!G9, Department_details,2, FALSE)</f>
        <v>Support</v>
      </c>
      <c r="I9" s="2" t="s">
        <v>86</v>
      </c>
      <c r="J9" s="9" t="str">
        <f>VLOOKUP(H9,Sheet2!B:C,2,FALSE)</f>
        <v>Shalini Saxena</v>
      </c>
      <c r="K9" s="3">
        <v>45301</v>
      </c>
      <c r="L9" s="2" t="s">
        <v>73</v>
      </c>
      <c r="M9" s="2">
        <v>9811122233</v>
      </c>
      <c r="N9" s="2" t="s">
        <v>70</v>
      </c>
      <c r="O9" s="2" t="s">
        <v>71</v>
      </c>
      <c r="P9" s="2" t="s">
        <v>110</v>
      </c>
      <c r="Q9" s="15" t="str">
        <f t="shared" si="0"/>
        <v>Part-Time Inactive</v>
      </c>
      <c r="R9" s="1"/>
    </row>
    <row r="10" spans="1:18" x14ac:dyDescent="0.3">
      <c r="A10" s="2"/>
      <c r="B10" s="2"/>
      <c r="C10" s="2"/>
      <c r="D10" s="2"/>
      <c r="E10" s="2"/>
      <c r="F10" s="3"/>
      <c r="G10" s="2"/>
      <c r="H10" s="2"/>
      <c r="I10" s="2"/>
      <c r="J10" s="2"/>
      <c r="K10" s="2"/>
      <c r="L10" s="2"/>
      <c r="M10" s="2"/>
      <c r="N10" s="2"/>
      <c r="O10" s="2"/>
      <c r="P10" s="2"/>
      <c r="Q10" s="2"/>
      <c r="R10" s="1"/>
    </row>
    <row r="11" spans="1:18" x14ac:dyDescent="0.3">
      <c r="F11" s="1"/>
      <c r="R11" s="1"/>
    </row>
    <row r="12" spans="1:18" x14ac:dyDescent="0.3">
      <c r="F12" s="1"/>
      <c r="R12" s="1"/>
    </row>
    <row r="13" spans="1:18" x14ac:dyDescent="0.3">
      <c r="F13" s="1"/>
      <c r="R13" s="1"/>
    </row>
    <row r="14" spans="1:18" x14ac:dyDescent="0.3">
      <c r="F14" s="1"/>
      <c r="R14" s="1"/>
    </row>
    <row r="15" spans="1:18" x14ac:dyDescent="0.3">
      <c r="F15" s="1"/>
      <c r="R15" s="1"/>
    </row>
    <row r="16" spans="1:18" x14ac:dyDescent="0.3">
      <c r="R16" s="1"/>
    </row>
    <row r="17" spans="6:18" x14ac:dyDescent="0.3">
      <c r="R17" s="1"/>
    </row>
    <row r="18" spans="6:18" x14ac:dyDescent="0.3">
      <c r="F18" s="16" t="s">
        <v>114</v>
      </c>
      <c r="G18" t="s">
        <v>117</v>
      </c>
      <c r="R18" s="1"/>
    </row>
    <row r="19" spans="6:18" x14ac:dyDescent="0.3">
      <c r="F19" s="17" t="s">
        <v>119</v>
      </c>
      <c r="G19" s="18">
        <v>1</v>
      </c>
      <c r="R19" s="1"/>
    </row>
    <row r="20" spans="6:18" x14ac:dyDescent="0.3">
      <c r="F20" s="17" t="s">
        <v>120</v>
      </c>
      <c r="G20" s="18">
        <v>1</v>
      </c>
      <c r="R20" s="1"/>
    </row>
    <row r="21" spans="6:18" x14ac:dyDescent="0.3">
      <c r="F21" s="17" t="s">
        <v>121</v>
      </c>
      <c r="G21" s="18">
        <v>1</v>
      </c>
      <c r="R21" s="1"/>
    </row>
    <row r="22" spans="6:18" x14ac:dyDescent="0.3">
      <c r="F22" s="17" t="s">
        <v>122</v>
      </c>
      <c r="G22" s="18">
        <v>1</v>
      </c>
    </row>
    <row r="23" spans="6:18" x14ac:dyDescent="0.3">
      <c r="F23" s="17" t="s">
        <v>123</v>
      </c>
      <c r="G23" s="18">
        <v>1</v>
      </c>
    </row>
    <row r="24" spans="6:18" x14ac:dyDescent="0.3">
      <c r="F24" s="17" t="s">
        <v>124</v>
      </c>
      <c r="G24" s="18">
        <v>1</v>
      </c>
    </row>
    <row r="25" spans="6:18" x14ac:dyDescent="0.3">
      <c r="F25" s="17" t="s">
        <v>125</v>
      </c>
      <c r="G25" s="18">
        <v>1</v>
      </c>
    </row>
    <row r="26" spans="6:18" x14ac:dyDescent="0.3">
      <c r="F26" s="17" t="s">
        <v>126</v>
      </c>
      <c r="G26" s="18">
        <v>1</v>
      </c>
    </row>
    <row r="27" spans="6:18" x14ac:dyDescent="0.3">
      <c r="F27" s="17" t="s">
        <v>115</v>
      </c>
      <c r="G27" s="18">
        <v>8</v>
      </c>
    </row>
  </sheetData>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7BF3D-D61D-4C5E-928D-666A14E76DFC}">
  <dimension ref="A1:D8"/>
  <sheetViews>
    <sheetView workbookViewId="0">
      <selection activeCell="E20" sqref="E20"/>
    </sheetView>
  </sheetViews>
  <sheetFormatPr defaultRowHeight="14.4" x14ac:dyDescent="0.3"/>
  <cols>
    <col min="1" max="1" width="13.109375" customWidth="1"/>
    <col min="2" max="2" width="16.33203125" customWidth="1"/>
    <col min="3" max="3" width="13.77734375" customWidth="1"/>
    <col min="4" max="4" width="10.109375" customWidth="1"/>
  </cols>
  <sheetData>
    <row r="1" spans="1:4" x14ac:dyDescent="0.3">
      <c r="A1" s="2" t="s">
        <v>78</v>
      </c>
      <c r="B1" s="2" t="s">
        <v>87</v>
      </c>
      <c r="C1" s="2" t="s">
        <v>88</v>
      </c>
      <c r="D1" s="2" t="s">
        <v>89</v>
      </c>
    </row>
    <row r="2" spans="1:4" x14ac:dyDescent="0.3">
      <c r="A2" s="2" t="s">
        <v>79</v>
      </c>
      <c r="B2" s="2" t="s">
        <v>20</v>
      </c>
      <c r="C2" s="2" t="s">
        <v>90</v>
      </c>
      <c r="D2" s="2" t="s">
        <v>19</v>
      </c>
    </row>
    <row r="3" spans="1:4" x14ac:dyDescent="0.3">
      <c r="A3" s="2" t="s">
        <v>80</v>
      </c>
      <c r="B3" s="2" t="s">
        <v>30</v>
      </c>
      <c r="C3" s="2" t="s">
        <v>91</v>
      </c>
      <c r="D3" s="2" t="s">
        <v>29</v>
      </c>
    </row>
    <row r="4" spans="1:4" x14ac:dyDescent="0.3">
      <c r="A4" s="2" t="s">
        <v>81</v>
      </c>
      <c r="B4" s="2" t="s">
        <v>37</v>
      </c>
      <c r="C4" s="2" t="s">
        <v>92</v>
      </c>
      <c r="D4" s="2" t="s">
        <v>74</v>
      </c>
    </row>
    <row r="5" spans="1:4" x14ac:dyDescent="0.3">
      <c r="A5" s="2" t="s">
        <v>82</v>
      </c>
      <c r="B5" s="2" t="s">
        <v>44</v>
      </c>
      <c r="C5" s="2" t="s">
        <v>93</v>
      </c>
      <c r="D5" s="2" t="s">
        <v>75</v>
      </c>
    </row>
    <row r="6" spans="1:4" x14ac:dyDescent="0.3">
      <c r="A6" s="2" t="s">
        <v>83</v>
      </c>
      <c r="B6" s="2" t="s">
        <v>52</v>
      </c>
      <c r="C6" s="2" t="s">
        <v>94</v>
      </c>
      <c r="D6" s="2" t="s">
        <v>51</v>
      </c>
    </row>
    <row r="7" spans="1:4" x14ac:dyDescent="0.3">
      <c r="A7" s="2" t="s">
        <v>84</v>
      </c>
      <c r="B7" s="2" t="s">
        <v>65</v>
      </c>
      <c r="C7" s="2" t="s">
        <v>95</v>
      </c>
      <c r="D7" s="2" t="s">
        <v>76</v>
      </c>
    </row>
    <row r="8" spans="1:4" x14ac:dyDescent="0.3">
      <c r="A8" s="2" t="s">
        <v>85</v>
      </c>
      <c r="B8" s="2" t="s">
        <v>72</v>
      </c>
      <c r="C8" s="2" t="s">
        <v>96</v>
      </c>
      <c r="D8" s="2" t="s">
        <v>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B8060-75FA-4DD7-94E8-939055D65A96}">
  <dimension ref="A1:R21"/>
  <sheetViews>
    <sheetView zoomScale="112" workbookViewId="0">
      <selection activeCell="C23" sqref="C23"/>
    </sheetView>
  </sheetViews>
  <sheetFormatPr defaultRowHeight="14.4" x14ac:dyDescent="0.3"/>
  <cols>
    <col min="1" max="1" width="9" customWidth="1"/>
    <col min="2" max="2" width="12.6640625" bestFit="1" customWidth="1"/>
    <col min="3" max="3" width="19" customWidth="1"/>
    <col min="4" max="4" width="13.109375" customWidth="1"/>
    <col min="5" max="5" width="12.6640625" bestFit="1" customWidth="1"/>
    <col min="6" max="6" width="17.21875" bestFit="1" customWidth="1"/>
    <col min="8" max="8" width="12.21875" customWidth="1"/>
    <col min="9" max="9" width="13.44140625" customWidth="1"/>
    <col min="10" max="10" width="11.5546875" customWidth="1"/>
    <col min="11" max="11" width="17.33203125" customWidth="1"/>
    <col min="12" max="12" width="10.21875" bestFit="1" customWidth="1"/>
  </cols>
  <sheetData>
    <row r="1" spans="1:18" x14ac:dyDescent="0.3">
      <c r="A1" s="2" t="s">
        <v>0</v>
      </c>
      <c r="B1" s="10" t="s">
        <v>107</v>
      </c>
      <c r="C1" s="12" t="s">
        <v>87</v>
      </c>
      <c r="D1" s="2" t="s">
        <v>97</v>
      </c>
      <c r="E1" s="2" t="s">
        <v>98</v>
      </c>
      <c r="F1" s="2" t="s">
        <v>99</v>
      </c>
      <c r="G1" s="2" t="s">
        <v>12</v>
      </c>
      <c r="H1" s="2" t="s">
        <v>100</v>
      </c>
      <c r="I1" s="2" t="s">
        <v>101</v>
      </c>
      <c r="J1" s="2" t="s">
        <v>102</v>
      </c>
      <c r="K1" s="2" t="s">
        <v>118</v>
      </c>
    </row>
    <row r="2" spans="1:18" x14ac:dyDescent="0.3">
      <c r="A2" s="2" t="s">
        <v>14</v>
      </c>
      <c r="B2" s="11" t="str">
        <f>VLOOKUP(A2, Sheet1!$A:$C, 2, FALSE) &amp; " " &amp; VLOOKUP(A2, Sheet1!$A:$C, 3, FALSE)</f>
        <v>Rahul Sharma</v>
      </c>
      <c r="C2" s="13" t="str">
        <f>INDEX(Sheet1!$H:$H, MATCH(A2, Sheet1!$A:$A, 0))</f>
        <v>IT</v>
      </c>
      <c r="D2" s="2">
        <v>600000</v>
      </c>
      <c r="E2" s="2">
        <v>120000</v>
      </c>
      <c r="F2" s="2">
        <v>60000</v>
      </c>
      <c r="G2" s="2">
        <v>50000</v>
      </c>
      <c r="H2" s="2">
        <v>30000</v>
      </c>
      <c r="I2" s="2">
        <f>SUM(D2:G2)</f>
        <v>830000</v>
      </c>
      <c r="J2" s="2">
        <f>I2-H2</f>
        <v>800000</v>
      </c>
      <c r="K2" t="str">
        <f>VLOOKUP(A4, Sheet1!A:L, 12, 0)</f>
        <v>Full-Time</v>
      </c>
    </row>
    <row r="3" spans="1:18" x14ac:dyDescent="0.3">
      <c r="A3" s="2" t="s">
        <v>24</v>
      </c>
      <c r="B3" s="11" t="str">
        <f>VLOOKUP(A3, Sheet1!$A:$C, 2, FALSE) &amp; " " &amp; VLOOKUP(A3, Sheet1!$A:$C, 3, FALSE)</f>
        <v>Priya Verma</v>
      </c>
      <c r="C3" s="13" t="str">
        <f>INDEX(Sheet1!$H:$H, MATCH(A3, Sheet1!$A:$A, 0))</f>
        <v>HR</v>
      </c>
      <c r="D3" s="2">
        <v>400000</v>
      </c>
      <c r="E3" s="2">
        <v>80000</v>
      </c>
      <c r="F3" s="2">
        <v>40000</v>
      </c>
      <c r="G3" s="2">
        <v>30000</v>
      </c>
      <c r="H3" s="2">
        <v>20000</v>
      </c>
      <c r="I3" s="2">
        <f t="shared" ref="I3:I9" si="0">SUM(D3:G3)</f>
        <v>550000</v>
      </c>
      <c r="J3" s="2">
        <f t="shared" ref="J3:J9" si="1">I3-H3</f>
        <v>530000</v>
      </c>
      <c r="K3" t="str">
        <f>VLOOKUP(A5, Sheet1!A:L, 12, 0)</f>
        <v>Contract</v>
      </c>
    </row>
    <row r="4" spans="1:18" x14ac:dyDescent="0.3">
      <c r="A4" s="2" t="s">
        <v>32</v>
      </c>
      <c r="B4" s="11" t="str">
        <f>VLOOKUP(A4, Sheet1!$A:$C, 2, FALSE) &amp; " " &amp; VLOOKUP(A4, Sheet1!$A:$C, 3, FALSE)</f>
        <v>Aman Singh</v>
      </c>
      <c r="C4" s="13" t="str">
        <f>INDEX(Sheet1!$H:$H, MATCH(A4, Sheet1!$A:$A, 0))</f>
        <v>Finance</v>
      </c>
      <c r="D4" s="2">
        <v>700000</v>
      </c>
      <c r="E4" s="2">
        <v>140000</v>
      </c>
      <c r="F4" s="2">
        <v>70000</v>
      </c>
      <c r="G4" s="2">
        <v>80000</v>
      </c>
      <c r="H4" s="2">
        <v>40000</v>
      </c>
      <c r="I4" s="2">
        <f t="shared" si="0"/>
        <v>990000</v>
      </c>
      <c r="J4" s="2">
        <f t="shared" si="1"/>
        <v>950000</v>
      </c>
      <c r="K4" t="str">
        <f>VLOOKUP(A6, Sheet1!A:L, 12, 0)</f>
        <v>Full-Time</v>
      </c>
      <c r="N4" s="4" t="s">
        <v>106</v>
      </c>
    </row>
    <row r="5" spans="1:18" x14ac:dyDescent="0.3">
      <c r="A5" s="2" t="s">
        <v>39</v>
      </c>
      <c r="B5" s="11" t="str">
        <f>VLOOKUP(A5, Sheet1!$A:$C, 2, FALSE) &amp; " " &amp; VLOOKUP(A5, Sheet1!$A:$C, 3, FALSE)</f>
        <v>Neha Patel</v>
      </c>
      <c r="C5" s="13" t="str">
        <f>INDEX(Sheet1!$H:$H, MATCH(A5, Sheet1!$A:$A, 0))</f>
        <v>Marketing</v>
      </c>
      <c r="D5" s="2">
        <v>350000</v>
      </c>
      <c r="E5" s="2">
        <v>70000</v>
      </c>
      <c r="F5" s="2">
        <v>35000</v>
      </c>
      <c r="G5" s="2">
        <v>20000</v>
      </c>
      <c r="H5" s="2">
        <v>15000</v>
      </c>
      <c r="I5" s="2">
        <f t="shared" si="0"/>
        <v>475000</v>
      </c>
      <c r="J5" s="2">
        <f t="shared" si="1"/>
        <v>460000</v>
      </c>
      <c r="K5" t="str">
        <f>VLOOKUP(A5, Sheet1!A:L, 12, 0)</f>
        <v>Contract</v>
      </c>
      <c r="N5" s="4" t="s">
        <v>108</v>
      </c>
      <c r="O5" s="4"/>
      <c r="P5" s="4"/>
      <c r="Q5" s="4"/>
      <c r="R5" s="4"/>
    </row>
    <row r="6" spans="1:18" x14ac:dyDescent="0.3">
      <c r="A6" s="2" t="s">
        <v>47</v>
      </c>
      <c r="B6" s="11" t="str">
        <f>VLOOKUP(A6, Sheet1!$A:$C, 2, FALSE) &amp; " " &amp; VLOOKUP(A6, Sheet1!$A:$C, 3, FALSE)</f>
        <v>Rohit Kumar</v>
      </c>
      <c r="C6" s="13" t="str">
        <f>INDEX(Sheet1!$H:$H, MATCH(A6, Sheet1!$A:$A, 0))</f>
        <v>Operations</v>
      </c>
      <c r="D6" s="2">
        <v>900000</v>
      </c>
      <c r="E6" s="2">
        <v>180000</v>
      </c>
      <c r="F6" s="2">
        <v>90000</v>
      </c>
      <c r="G6" s="2">
        <v>100000</v>
      </c>
      <c r="H6" s="2">
        <v>50000</v>
      </c>
      <c r="I6" s="2">
        <f t="shared" si="0"/>
        <v>1270000</v>
      </c>
      <c r="J6" s="2">
        <f t="shared" si="1"/>
        <v>1220000</v>
      </c>
      <c r="K6" t="str">
        <f>VLOOKUP(A6, Sheet1!A:L, 12, 0)</f>
        <v>Full-Time</v>
      </c>
      <c r="N6" s="4" t="s">
        <v>112</v>
      </c>
    </row>
    <row r="7" spans="1:18" x14ac:dyDescent="0.3">
      <c r="A7" s="2" t="s">
        <v>54</v>
      </c>
      <c r="B7" s="11" t="str">
        <f>VLOOKUP(A7, Sheet1!$A:$C, 2, FALSE) &amp; " " &amp; VLOOKUP(A7, Sheet1!$A:$C, 3, FALSE)</f>
        <v>Anjali Mehta</v>
      </c>
      <c r="C7" s="13" t="str">
        <f>INDEX(Sheet1!$H:$H, MATCH(A7, Sheet1!$A:$A, 0))</f>
        <v>IT</v>
      </c>
      <c r="D7" s="2">
        <v>500000</v>
      </c>
      <c r="E7" s="2">
        <v>100000</v>
      </c>
      <c r="F7" s="2">
        <v>50000</v>
      </c>
      <c r="G7" s="2">
        <v>45000</v>
      </c>
      <c r="H7" s="2">
        <v>25000</v>
      </c>
      <c r="I7" s="2">
        <f t="shared" si="0"/>
        <v>695000</v>
      </c>
      <c r="J7" s="2">
        <f t="shared" si="1"/>
        <v>670000</v>
      </c>
      <c r="K7" t="str">
        <f>VLOOKUP(A7, Sheet1!A:L, 12, 0)</f>
        <v>Full-Time</v>
      </c>
    </row>
    <row r="8" spans="1:18" x14ac:dyDescent="0.3">
      <c r="A8" s="2" t="s">
        <v>60</v>
      </c>
      <c r="B8" s="11" t="str">
        <f>VLOOKUP(A8, Sheet1!$A:$C, 2, FALSE) &amp; " " &amp; VLOOKUP(A8, Sheet1!$A:$C, 3, FALSE)</f>
        <v>Suresh Reddy</v>
      </c>
      <c r="C8" s="13" t="str">
        <f>INDEX(Sheet1!$H:$H, MATCH(A8, Sheet1!$A:$A, 0))</f>
        <v>Sales</v>
      </c>
      <c r="D8" s="2">
        <v>1100000</v>
      </c>
      <c r="E8" s="2">
        <v>220000</v>
      </c>
      <c r="F8" s="2">
        <v>110000</v>
      </c>
      <c r="G8" s="2">
        <v>150000</v>
      </c>
      <c r="H8" s="2">
        <v>60000</v>
      </c>
      <c r="I8" s="2">
        <f t="shared" si="0"/>
        <v>1580000</v>
      </c>
      <c r="J8" s="2">
        <f t="shared" si="1"/>
        <v>1520000</v>
      </c>
      <c r="K8" t="str">
        <f>VLOOKUP(A8, Sheet1!A:L, 12, 0)</f>
        <v>Full-Time</v>
      </c>
    </row>
    <row r="9" spans="1:18" x14ac:dyDescent="0.3">
      <c r="A9" s="2" t="s">
        <v>67</v>
      </c>
      <c r="B9" s="11" t="str">
        <f>VLOOKUP(A9, Sheet1!$A:$C, 2, FALSE) &amp; " " &amp; VLOOKUP(A9, Sheet1!$A:$C, 3, FALSE)</f>
        <v>Kavya Nair</v>
      </c>
      <c r="C9" s="13" t="str">
        <f>INDEX(Sheet1!$H:$H, MATCH(A9, Sheet1!$A:$A, 0))</f>
        <v>Support</v>
      </c>
      <c r="D9" s="2">
        <v>250000</v>
      </c>
      <c r="E9" s="2">
        <v>50000</v>
      </c>
      <c r="F9" s="2">
        <v>25000</v>
      </c>
      <c r="G9" s="2">
        <v>10000</v>
      </c>
      <c r="H9" s="2">
        <v>10000</v>
      </c>
      <c r="I9" s="2">
        <f t="shared" si="0"/>
        <v>335000</v>
      </c>
      <c r="J9" s="2">
        <f t="shared" si="1"/>
        <v>325000</v>
      </c>
      <c r="K9" t="str">
        <f>VLOOKUP(A9, Sheet1!A:L, 12, 0)</f>
        <v>Part-Time</v>
      </c>
    </row>
    <row r="10" spans="1:18" x14ac:dyDescent="0.3">
      <c r="A10" s="2"/>
      <c r="B10" s="2"/>
      <c r="C10" s="2"/>
      <c r="D10" s="2"/>
      <c r="E10" s="2"/>
      <c r="F10" s="2"/>
      <c r="G10" s="2"/>
      <c r="H10" s="2"/>
      <c r="I10" s="2"/>
      <c r="J10" s="2"/>
    </row>
    <row r="11" spans="1:18" x14ac:dyDescent="0.3">
      <c r="A11" s="2"/>
      <c r="B11" s="2"/>
      <c r="C11" s="2"/>
      <c r="D11" s="2"/>
      <c r="E11" s="2"/>
      <c r="F11" s="2"/>
      <c r="G11" s="2"/>
      <c r="H11" s="2"/>
      <c r="I11" s="2"/>
      <c r="J11" s="2"/>
    </row>
    <row r="13" spans="1:18" x14ac:dyDescent="0.3">
      <c r="B13" s="16" t="s">
        <v>114</v>
      </c>
      <c r="C13" t="s">
        <v>116</v>
      </c>
      <c r="D13" s="16" t="s">
        <v>114</v>
      </c>
      <c r="E13" t="s">
        <v>127</v>
      </c>
      <c r="F13" t="s">
        <v>128</v>
      </c>
    </row>
    <row r="14" spans="1:18" x14ac:dyDescent="0.3">
      <c r="B14" s="17" t="s">
        <v>46</v>
      </c>
      <c r="C14" s="18">
        <v>750000</v>
      </c>
      <c r="D14" s="17" t="s">
        <v>37</v>
      </c>
      <c r="E14" s="18">
        <v>80000</v>
      </c>
      <c r="F14" s="18">
        <v>40000</v>
      </c>
    </row>
    <row r="15" spans="1:18" x14ac:dyDescent="0.3">
      <c r="B15" s="17" t="s">
        <v>22</v>
      </c>
      <c r="C15" s="18">
        <v>3800000</v>
      </c>
      <c r="D15" s="17" t="s">
        <v>30</v>
      </c>
      <c r="E15" s="18">
        <v>30000</v>
      </c>
      <c r="F15" s="18">
        <v>20000</v>
      </c>
    </row>
    <row r="16" spans="1:18" x14ac:dyDescent="0.3">
      <c r="B16" s="17" t="s">
        <v>73</v>
      </c>
      <c r="C16" s="18">
        <v>250000</v>
      </c>
      <c r="D16" s="17" t="s">
        <v>20</v>
      </c>
      <c r="E16" s="18">
        <v>95000</v>
      </c>
      <c r="F16" s="18">
        <v>55000</v>
      </c>
    </row>
    <row r="17" spans="2:6" x14ac:dyDescent="0.3">
      <c r="B17" s="17" t="s">
        <v>115</v>
      </c>
      <c r="C17" s="18">
        <v>4800000</v>
      </c>
      <c r="D17" s="17" t="s">
        <v>44</v>
      </c>
      <c r="E17" s="18">
        <v>20000</v>
      </c>
      <c r="F17" s="18">
        <v>15000</v>
      </c>
    </row>
    <row r="18" spans="2:6" x14ac:dyDescent="0.3">
      <c r="D18" s="17" t="s">
        <v>52</v>
      </c>
      <c r="E18" s="18">
        <v>100000</v>
      </c>
      <c r="F18" s="18">
        <v>50000</v>
      </c>
    </row>
    <row r="19" spans="2:6" x14ac:dyDescent="0.3">
      <c r="D19" s="17" t="s">
        <v>65</v>
      </c>
      <c r="E19" s="18">
        <v>150000</v>
      </c>
      <c r="F19" s="18">
        <v>60000</v>
      </c>
    </row>
    <row r="20" spans="2:6" x14ac:dyDescent="0.3">
      <c r="D20" s="17" t="s">
        <v>72</v>
      </c>
      <c r="E20" s="18">
        <v>10000</v>
      </c>
      <c r="F20" s="18">
        <v>10000</v>
      </c>
    </row>
    <row r="21" spans="2:6" x14ac:dyDescent="0.3">
      <c r="D21" s="17" t="s">
        <v>115</v>
      </c>
      <c r="E21" s="18">
        <v>485000</v>
      </c>
      <c r="F21" s="18">
        <v>250000</v>
      </c>
    </row>
  </sheetData>
  <conditionalFormatting sqref="J1:J9 K1">
    <cfRule type="expression" dxfId="5" priority="5">
      <formula>"j2&gt;100000"</formula>
    </cfRule>
    <cfRule type="expression" dxfId="4" priority="6">
      <formula>H2&gt;1000000</formula>
    </cfRule>
  </conditionalFormatting>
  <conditionalFormatting sqref="J2:J9">
    <cfRule type="expression" dxfId="3" priority="1">
      <formula>J2&gt;1000000</formula>
    </cfRule>
    <cfRule type="expression" dxfId="2" priority="2">
      <formula>$J$2&gt;1000000</formula>
    </cfRule>
    <cfRule type="expression" dxfId="1" priority="4">
      <formula>"J2&gt;1000000"</formula>
    </cfRule>
  </conditionalFormatting>
  <conditionalFormatting sqref="O9">
    <cfRule type="expression" dxfId="0" priority="7">
      <formula>H2&gt;1000000</formula>
    </cfRule>
  </conditionalFormatting>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630B-1AE1-4629-88DF-B2F93B60256D}">
  <dimension ref="A1:Y36"/>
  <sheetViews>
    <sheetView showGridLines="0" tabSelected="1" zoomScale="104" workbookViewId="0">
      <selection activeCell="H15" sqref="H15"/>
    </sheetView>
  </sheetViews>
  <sheetFormatPr defaultRowHeight="14.4" x14ac:dyDescent="0.3"/>
  <cols>
    <col min="1" max="1" width="12.44140625" bestFit="1" customWidth="1"/>
    <col min="2" max="2" width="16.109375" bestFit="1" customWidth="1"/>
  </cols>
  <sheetData>
    <row r="1" spans="1:25" x14ac:dyDescent="0.3">
      <c r="A1" s="19"/>
      <c r="B1" s="19"/>
      <c r="C1" s="19"/>
      <c r="D1" s="19"/>
      <c r="E1" s="19"/>
      <c r="F1" s="19"/>
      <c r="G1" s="19"/>
      <c r="H1" s="19"/>
      <c r="I1" s="19"/>
      <c r="J1" s="19"/>
      <c r="K1" s="19"/>
      <c r="L1" s="19"/>
      <c r="M1" s="19"/>
      <c r="N1" s="19"/>
      <c r="O1" s="19"/>
      <c r="P1" s="19"/>
      <c r="Q1" s="19"/>
      <c r="R1" s="19"/>
      <c r="S1" s="19"/>
      <c r="T1" s="19"/>
      <c r="U1" s="19"/>
      <c r="V1" s="19"/>
      <c r="W1" s="19"/>
      <c r="X1" s="19"/>
      <c r="Y1" s="19"/>
    </row>
    <row r="2" spans="1:25" x14ac:dyDescent="0.3">
      <c r="A2" s="19"/>
      <c r="B2" s="19"/>
      <c r="C2" s="19"/>
      <c r="D2" s="19"/>
      <c r="E2" s="19"/>
      <c r="F2" s="19"/>
      <c r="G2" s="19"/>
      <c r="H2" s="19"/>
      <c r="I2" s="19"/>
      <c r="J2" s="19"/>
      <c r="K2" s="19"/>
      <c r="L2" s="19"/>
      <c r="M2" s="19"/>
      <c r="N2" s="19"/>
      <c r="O2" s="19"/>
      <c r="P2" s="19"/>
      <c r="Q2" s="19"/>
      <c r="R2" s="19"/>
      <c r="S2" s="19"/>
      <c r="T2" s="19"/>
      <c r="U2" s="19"/>
      <c r="V2" s="19"/>
      <c r="W2" s="19"/>
      <c r="X2" s="19"/>
      <c r="Y2" s="19"/>
    </row>
    <row r="3" spans="1:25" x14ac:dyDescent="0.3">
      <c r="A3" s="19"/>
      <c r="B3" s="19"/>
      <c r="C3" s="19"/>
      <c r="D3" s="19"/>
      <c r="E3" s="19"/>
      <c r="F3" s="19"/>
      <c r="G3" s="19"/>
      <c r="H3" s="19"/>
      <c r="I3" s="19"/>
      <c r="J3" s="19"/>
      <c r="K3" s="19"/>
      <c r="L3" s="19"/>
      <c r="M3" s="19"/>
      <c r="N3" s="19"/>
      <c r="O3" s="19"/>
      <c r="P3" s="19"/>
      <c r="Q3" s="19"/>
      <c r="R3" s="19"/>
      <c r="S3" s="19"/>
      <c r="T3" s="19"/>
      <c r="U3" s="19"/>
      <c r="V3" s="19"/>
      <c r="W3" s="19"/>
      <c r="X3" s="19"/>
      <c r="Y3" s="19"/>
    </row>
    <row r="4" spans="1:25" x14ac:dyDescent="0.3">
      <c r="A4" s="19"/>
      <c r="B4" s="19"/>
      <c r="C4" s="19"/>
      <c r="D4" s="19"/>
      <c r="E4" s="19"/>
      <c r="F4" s="19"/>
      <c r="G4" s="19"/>
      <c r="H4" s="19"/>
      <c r="I4" s="19"/>
      <c r="J4" s="19"/>
      <c r="K4" s="19"/>
      <c r="L4" s="19"/>
      <c r="M4" s="19"/>
      <c r="N4" s="19"/>
      <c r="O4" s="19"/>
      <c r="P4" s="19"/>
      <c r="Q4" s="19"/>
      <c r="R4" s="19"/>
      <c r="S4" s="19"/>
      <c r="T4" s="19"/>
      <c r="U4" s="19"/>
      <c r="V4" s="19"/>
      <c r="W4" s="19"/>
      <c r="X4" s="19"/>
      <c r="Y4" s="19"/>
    </row>
    <row r="5" spans="1:25" x14ac:dyDescent="0.3">
      <c r="A5" s="19"/>
      <c r="B5" s="19"/>
      <c r="C5" s="19"/>
      <c r="D5" s="19"/>
      <c r="E5" s="19"/>
      <c r="F5" s="19"/>
      <c r="G5" s="19"/>
      <c r="H5" s="19"/>
      <c r="I5" s="19"/>
      <c r="J5" s="19"/>
      <c r="K5" s="19"/>
      <c r="L5" s="19"/>
      <c r="M5" s="19"/>
      <c r="N5" s="19"/>
      <c r="O5" s="19"/>
      <c r="P5" s="19"/>
      <c r="Q5" s="19"/>
      <c r="R5" s="19"/>
      <c r="S5" s="19"/>
      <c r="T5" s="19"/>
      <c r="U5" s="19"/>
      <c r="V5" s="19"/>
      <c r="W5" s="19"/>
      <c r="X5" s="19"/>
      <c r="Y5" s="19"/>
    </row>
    <row r="6" spans="1:25" x14ac:dyDescent="0.3">
      <c r="A6" s="19"/>
      <c r="B6" s="19"/>
      <c r="C6" s="19"/>
      <c r="D6" s="19"/>
      <c r="E6" s="19"/>
      <c r="F6" s="19"/>
      <c r="G6" s="19"/>
      <c r="H6" s="19"/>
      <c r="I6" s="19"/>
      <c r="J6" s="19"/>
      <c r="K6" s="19"/>
      <c r="L6" s="19"/>
      <c r="M6" s="19"/>
      <c r="N6" s="19"/>
      <c r="O6" s="19"/>
      <c r="P6" s="19"/>
      <c r="Q6" s="19"/>
      <c r="R6" s="19"/>
      <c r="S6" s="19"/>
      <c r="T6" s="19"/>
      <c r="U6" s="19"/>
      <c r="V6" s="19"/>
      <c r="W6" s="19"/>
      <c r="X6" s="19"/>
      <c r="Y6" s="19"/>
    </row>
    <row r="7" spans="1:25" x14ac:dyDescent="0.3">
      <c r="A7" s="19"/>
      <c r="B7" s="19"/>
      <c r="C7" s="19"/>
      <c r="D7" s="19"/>
      <c r="E7" s="19"/>
      <c r="F7" s="19"/>
      <c r="G7" s="19"/>
      <c r="H7" s="19"/>
      <c r="I7" s="19"/>
      <c r="J7" s="19"/>
      <c r="K7" s="19"/>
      <c r="L7" s="19"/>
      <c r="M7" s="19"/>
      <c r="N7" s="19"/>
      <c r="O7" s="19"/>
      <c r="P7" s="19"/>
      <c r="Q7" s="19"/>
      <c r="R7" s="19"/>
      <c r="S7" s="19"/>
      <c r="T7" s="19"/>
      <c r="U7" s="19"/>
      <c r="V7" s="19"/>
      <c r="W7" s="19"/>
      <c r="X7" s="19"/>
      <c r="Y7" s="19"/>
    </row>
    <row r="8" spans="1:25" x14ac:dyDescent="0.3">
      <c r="A8" s="19"/>
      <c r="B8" s="19"/>
      <c r="C8" s="19"/>
      <c r="D8" s="19"/>
      <c r="E8" s="19"/>
      <c r="F8" s="19"/>
      <c r="G8" s="19"/>
      <c r="H8" s="19"/>
      <c r="I8" s="19"/>
      <c r="J8" s="19"/>
      <c r="K8" s="19"/>
      <c r="L8" s="19"/>
      <c r="M8" s="19"/>
      <c r="N8" s="19"/>
      <c r="O8" s="19"/>
      <c r="P8" s="19"/>
      <c r="Q8" s="19"/>
      <c r="R8" s="19"/>
      <c r="S8" s="19"/>
      <c r="T8" s="19"/>
      <c r="U8" s="19"/>
      <c r="V8" s="19"/>
      <c r="W8" s="19"/>
      <c r="X8" s="19"/>
      <c r="Y8" s="19"/>
    </row>
    <row r="9" spans="1:25" x14ac:dyDescent="0.3">
      <c r="A9" s="19"/>
      <c r="B9" s="19"/>
      <c r="C9" s="19"/>
      <c r="D9" s="19"/>
      <c r="E9" s="19"/>
      <c r="F9" s="19"/>
      <c r="G9" s="19"/>
      <c r="H9" s="19"/>
      <c r="I9" s="19"/>
      <c r="J9" s="19"/>
      <c r="K9" s="19"/>
      <c r="L9" s="19"/>
      <c r="M9" s="19"/>
      <c r="N9" s="19"/>
      <c r="O9" s="19"/>
      <c r="P9" s="19"/>
      <c r="Q9" s="19"/>
      <c r="R9" s="19"/>
      <c r="S9" s="19"/>
      <c r="T9" s="19"/>
      <c r="U9" s="19"/>
      <c r="V9" s="19"/>
      <c r="W9" s="19"/>
      <c r="X9" s="19"/>
      <c r="Y9" s="19"/>
    </row>
    <row r="10" spans="1:25" x14ac:dyDescent="0.3">
      <c r="A10" s="19"/>
      <c r="B10" s="19"/>
      <c r="C10" s="19"/>
      <c r="D10" s="19"/>
      <c r="E10" s="19"/>
      <c r="F10" s="19"/>
      <c r="G10" s="19"/>
      <c r="H10" s="19"/>
      <c r="I10" s="19"/>
      <c r="J10" s="19"/>
      <c r="K10" s="19"/>
      <c r="L10" s="19"/>
      <c r="M10" s="19"/>
      <c r="N10" s="19"/>
      <c r="O10" s="19"/>
      <c r="P10" s="19"/>
      <c r="Q10" s="19"/>
      <c r="R10" s="19"/>
      <c r="S10" s="19"/>
      <c r="T10" s="19"/>
      <c r="U10" s="19"/>
      <c r="V10" s="19"/>
      <c r="W10" s="19"/>
      <c r="X10" s="19"/>
      <c r="Y10" s="19"/>
    </row>
    <row r="11" spans="1:25" x14ac:dyDescent="0.3">
      <c r="A11" s="19"/>
      <c r="B11" s="19"/>
      <c r="C11" s="19"/>
      <c r="D11" s="19"/>
      <c r="E11" s="19"/>
      <c r="F11" s="19"/>
      <c r="G11" s="19"/>
      <c r="H11" s="19"/>
      <c r="I11" s="19"/>
      <c r="J11" s="19"/>
      <c r="K11" s="19"/>
      <c r="L11" s="19"/>
      <c r="M11" s="19"/>
      <c r="N11" s="19"/>
      <c r="O11" s="19"/>
      <c r="P11" s="19"/>
      <c r="Q11" s="19"/>
      <c r="R11" s="19"/>
      <c r="S11" s="19"/>
      <c r="T11" s="19"/>
      <c r="U11" s="19"/>
      <c r="V11" s="19"/>
      <c r="W11" s="19"/>
      <c r="X11" s="19"/>
      <c r="Y11" s="19"/>
    </row>
    <row r="12" spans="1:25" x14ac:dyDescent="0.3">
      <c r="A12" s="19"/>
      <c r="B12" s="19"/>
      <c r="C12" s="19"/>
      <c r="D12" s="19"/>
      <c r="E12" s="19"/>
      <c r="F12" s="19"/>
      <c r="G12" s="19"/>
      <c r="H12" s="19"/>
      <c r="I12" s="19"/>
      <c r="J12" s="19"/>
      <c r="K12" s="19"/>
      <c r="L12" s="19"/>
      <c r="M12" s="19"/>
      <c r="N12" s="19"/>
      <c r="O12" s="19"/>
      <c r="P12" s="19"/>
      <c r="Q12" s="19"/>
      <c r="R12" s="19"/>
      <c r="S12" s="19"/>
      <c r="T12" s="19"/>
      <c r="U12" s="19"/>
      <c r="V12" s="19"/>
      <c r="W12" s="19"/>
      <c r="X12" s="19"/>
      <c r="Y12" s="19"/>
    </row>
    <row r="13" spans="1:25" x14ac:dyDescent="0.3">
      <c r="A13" s="19"/>
      <c r="B13" s="19"/>
      <c r="C13" s="19"/>
      <c r="D13" s="19"/>
      <c r="E13" s="19"/>
      <c r="F13" s="19"/>
      <c r="G13" s="19"/>
      <c r="H13" s="19"/>
      <c r="I13" s="19"/>
      <c r="J13" s="19"/>
      <c r="K13" s="19"/>
      <c r="L13" s="19"/>
      <c r="M13" s="19"/>
      <c r="N13" s="19"/>
      <c r="O13" s="19"/>
      <c r="P13" s="19"/>
      <c r="Q13" s="19"/>
      <c r="R13" s="19"/>
      <c r="S13" s="19"/>
      <c r="T13" s="19"/>
      <c r="U13" s="19"/>
      <c r="V13" s="19"/>
      <c r="W13" s="19"/>
      <c r="X13" s="19"/>
      <c r="Y13" s="19"/>
    </row>
    <row r="14" spans="1:25" x14ac:dyDescent="0.3">
      <c r="A14" s="19"/>
      <c r="B14" s="19"/>
      <c r="C14" s="19"/>
      <c r="D14" s="19"/>
      <c r="E14" s="19"/>
      <c r="F14" s="19"/>
      <c r="G14" s="19"/>
      <c r="H14" s="19"/>
      <c r="I14" s="19"/>
      <c r="J14" s="19"/>
      <c r="K14" s="19"/>
      <c r="L14" s="19"/>
      <c r="M14" s="19"/>
      <c r="N14" s="19"/>
      <c r="O14" s="19"/>
      <c r="P14" s="19"/>
      <c r="Q14" s="19"/>
      <c r="R14" s="19"/>
      <c r="S14" s="19"/>
      <c r="T14" s="19"/>
      <c r="U14" s="19"/>
      <c r="V14" s="19"/>
      <c r="W14" s="19"/>
      <c r="X14" s="19"/>
      <c r="Y14" s="19"/>
    </row>
    <row r="15" spans="1:25"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row>
    <row r="16" spans="1:25" x14ac:dyDescent="0.3">
      <c r="A16" s="19"/>
      <c r="B16" s="19"/>
      <c r="C16" s="19"/>
      <c r="D16" s="19"/>
      <c r="E16" s="19"/>
      <c r="F16" s="19"/>
      <c r="G16" s="19"/>
      <c r="H16" s="19"/>
      <c r="I16" s="19"/>
      <c r="J16" s="19"/>
      <c r="K16" s="19"/>
      <c r="L16" s="19"/>
      <c r="M16" s="19"/>
      <c r="N16" s="19"/>
      <c r="O16" s="19"/>
      <c r="P16" s="19"/>
      <c r="Q16" s="19"/>
      <c r="R16" s="19"/>
      <c r="S16" s="19"/>
      <c r="T16" s="19"/>
      <c r="U16" s="20"/>
      <c r="V16" s="19"/>
      <c r="W16" s="19"/>
      <c r="X16" s="19"/>
      <c r="Y16" s="19"/>
    </row>
    <row r="17" spans="1:25" x14ac:dyDescent="0.3">
      <c r="A17" s="19"/>
      <c r="B17" s="19"/>
      <c r="C17" s="19"/>
      <c r="D17" s="19"/>
      <c r="E17" s="19"/>
      <c r="F17" s="19"/>
      <c r="G17" s="19"/>
      <c r="H17" s="19"/>
      <c r="I17" s="19"/>
      <c r="J17" s="19"/>
      <c r="K17" s="19"/>
      <c r="L17" s="19"/>
      <c r="M17" s="19"/>
      <c r="N17" s="19"/>
      <c r="O17" s="19"/>
      <c r="P17" s="19"/>
      <c r="Q17" s="19"/>
      <c r="R17" s="19"/>
      <c r="S17" s="19"/>
      <c r="T17" s="19"/>
      <c r="U17" s="19"/>
      <c r="V17" s="19"/>
      <c r="W17" s="19"/>
      <c r="X17" s="19"/>
      <c r="Y17" s="19"/>
    </row>
    <row r="18" spans="1:25" x14ac:dyDescent="0.3">
      <c r="A18" s="19"/>
      <c r="B18" s="19"/>
      <c r="C18" s="19"/>
      <c r="D18" s="19"/>
      <c r="E18" s="19"/>
      <c r="F18" s="19"/>
      <c r="G18" s="19"/>
      <c r="H18" s="19"/>
      <c r="I18" s="19"/>
      <c r="J18" s="19"/>
      <c r="K18" s="19"/>
      <c r="L18" s="19"/>
      <c r="M18" s="19"/>
      <c r="N18" s="19"/>
      <c r="O18" s="19"/>
      <c r="P18" s="19"/>
      <c r="Q18" s="19"/>
      <c r="R18" s="19"/>
      <c r="S18" s="19"/>
      <c r="T18" s="19"/>
      <c r="U18" s="19"/>
      <c r="V18" s="19"/>
      <c r="W18" s="19"/>
      <c r="X18" s="19"/>
      <c r="Y18" s="19"/>
    </row>
    <row r="19" spans="1:25" x14ac:dyDescent="0.3">
      <c r="A19" s="19"/>
      <c r="B19" s="19"/>
      <c r="C19" s="19"/>
      <c r="D19" s="19"/>
      <c r="E19" s="19"/>
      <c r="F19" s="19"/>
      <c r="G19" s="19"/>
      <c r="H19" s="19"/>
      <c r="I19" s="19"/>
      <c r="J19" s="19"/>
      <c r="K19" s="19"/>
      <c r="L19" s="19"/>
      <c r="M19" s="19"/>
      <c r="N19" s="19"/>
      <c r="O19" s="19"/>
      <c r="P19" s="19"/>
      <c r="Q19" s="19"/>
      <c r="R19" s="19"/>
      <c r="S19" s="19"/>
      <c r="T19" s="19"/>
      <c r="U19" s="19"/>
      <c r="V19" s="19"/>
      <c r="W19" s="19"/>
      <c r="X19" s="19"/>
      <c r="Y19" s="19"/>
    </row>
    <row r="20" spans="1:25" x14ac:dyDescent="0.3">
      <c r="A20" s="19"/>
      <c r="B20" s="19"/>
      <c r="C20" s="19"/>
      <c r="D20" s="19"/>
      <c r="E20" s="19"/>
      <c r="F20" s="19"/>
      <c r="G20" s="19"/>
      <c r="H20" s="19"/>
      <c r="I20" s="19"/>
      <c r="J20" s="19"/>
      <c r="K20" s="19"/>
      <c r="L20" s="19"/>
      <c r="M20" s="19"/>
      <c r="N20" s="19"/>
      <c r="O20" s="19"/>
      <c r="P20" s="19"/>
      <c r="Q20" s="19"/>
      <c r="R20" s="19"/>
      <c r="S20" s="19"/>
      <c r="T20" s="19"/>
      <c r="U20" s="19"/>
      <c r="V20" s="19"/>
      <c r="W20" s="19"/>
      <c r="X20" s="19"/>
      <c r="Y20" s="19"/>
    </row>
    <row r="21" spans="1:25" x14ac:dyDescent="0.3">
      <c r="A21" s="19"/>
      <c r="B21" s="19"/>
      <c r="C21" s="19"/>
      <c r="D21" s="19"/>
      <c r="E21" s="19"/>
      <c r="F21" s="19"/>
      <c r="G21" s="19"/>
      <c r="H21" s="19"/>
      <c r="I21" s="19"/>
      <c r="J21" s="19"/>
      <c r="K21" s="19"/>
      <c r="L21" s="19"/>
      <c r="M21" s="19"/>
      <c r="N21" s="19"/>
      <c r="O21" s="19"/>
      <c r="P21" s="19"/>
      <c r="Q21" s="19"/>
      <c r="R21" s="19"/>
      <c r="S21" s="19"/>
      <c r="T21" s="19"/>
      <c r="U21" s="19"/>
      <c r="V21" s="19"/>
      <c r="W21" s="19"/>
      <c r="X21" s="19"/>
      <c r="Y21" s="19"/>
    </row>
    <row r="22" spans="1:25" x14ac:dyDescent="0.3">
      <c r="A22" s="19"/>
      <c r="B22" s="19"/>
      <c r="C22" s="19"/>
      <c r="D22" s="19"/>
      <c r="E22" s="19"/>
      <c r="F22" s="19"/>
      <c r="G22" s="19"/>
      <c r="H22" s="19"/>
      <c r="I22" s="19"/>
      <c r="J22" s="19"/>
      <c r="K22" s="19"/>
      <c r="L22" s="19"/>
      <c r="M22" s="19"/>
      <c r="N22" s="19"/>
      <c r="O22" s="19"/>
      <c r="P22" s="19"/>
      <c r="Q22" s="19"/>
      <c r="R22" s="19"/>
      <c r="S22" s="19"/>
      <c r="T22" s="19"/>
      <c r="U22" s="19"/>
      <c r="V22" s="19"/>
      <c r="W22" s="19"/>
      <c r="X22" s="19"/>
      <c r="Y22" s="19"/>
    </row>
    <row r="23" spans="1:25" x14ac:dyDescent="0.3">
      <c r="A23" s="19"/>
      <c r="B23" s="19"/>
      <c r="C23" s="19"/>
      <c r="D23" s="19"/>
      <c r="E23" s="19"/>
      <c r="F23" s="19"/>
      <c r="G23" s="19"/>
      <c r="H23" s="19"/>
      <c r="I23" s="19"/>
      <c r="J23" s="19"/>
      <c r="K23" s="19"/>
      <c r="L23" s="19"/>
      <c r="M23" s="19"/>
      <c r="N23" s="19"/>
      <c r="O23" s="19"/>
      <c r="P23" s="19"/>
      <c r="Q23" s="19"/>
      <c r="R23" s="19"/>
      <c r="S23" s="19"/>
      <c r="T23" s="19"/>
      <c r="U23" s="19"/>
      <c r="V23" s="19"/>
      <c r="W23" s="19"/>
      <c r="X23" s="19"/>
      <c r="Y23" s="19"/>
    </row>
    <row r="24" spans="1:25"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row>
    <row r="25" spans="1:25"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row>
    <row r="26" spans="1:25"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row>
    <row r="27" spans="1:25"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row>
    <row r="28" spans="1:25"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row>
    <row r="29" spans="1:25"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row>
    <row r="30" spans="1:25"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row>
    <row r="31" spans="1:25"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row>
    <row r="32" spans="1:25"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row>
    <row r="33" spans="1:25"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row>
    <row r="34" spans="1:25"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row>
    <row r="35" spans="1:25"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row>
    <row r="36" spans="1:25"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Sheet1</vt:lpstr>
      <vt:lpstr>Sheet2</vt:lpstr>
      <vt:lpstr>Sheet3</vt:lpstr>
      <vt:lpstr>Dashboard</vt:lpstr>
      <vt:lpstr>Department_details</vt:lpstr>
      <vt:lpstr>Department_List</vt:lpstr>
      <vt:lpstr>Employee_details</vt:lpstr>
      <vt:lpstr>Salary_details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kumkum mondal</dc:creator>
  <cp:lastModifiedBy>kumkum mondal</cp:lastModifiedBy>
  <dcterms:created xsi:type="dcterms:W3CDTF">2025-12-16T11:26:55Z</dcterms:created>
  <dcterms:modified xsi:type="dcterms:W3CDTF">2025-12-17T14:13:10Z</dcterms:modified>
</cp:coreProperties>
</file>