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kumkum\Desktop\Data_processing_ANP\"/>
    </mc:Choice>
  </mc:AlternateContent>
  <xr:revisionPtr revIDLastSave="0" documentId="8_{A2DFDD7A-15AC-4819-887E-CCF293C28213}" xr6:coauthVersionLast="47" xr6:coauthVersionMax="47" xr10:uidLastSave="{00000000-0000-0000-0000-000000000000}"/>
  <bookViews>
    <workbookView xWindow="-108" yWindow="-108" windowWidth="23256" windowHeight="12456" xr2:uid="{6B2A549A-96D0-40AB-BC33-655FFCACE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J2" i="1"/>
  <c r="E21" i="1"/>
  <c r="D21" i="1"/>
  <c r="C21" i="1"/>
  <c r="C18" i="1"/>
  <c r="C19" i="1"/>
  <c r="C17" i="1"/>
  <c r="C16" i="1"/>
  <c r="M4" i="1"/>
  <c r="M3" i="1"/>
  <c r="K12" i="1"/>
  <c r="K13" i="1"/>
  <c r="K14" i="1"/>
  <c r="K11" i="1"/>
  <c r="J12" i="1"/>
  <c r="J13" i="1"/>
  <c r="J14" i="1"/>
  <c r="J11" i="1"/>
  <c r="I14" i="1"/>
  <c r="I13" i="1"/>
  <c r="I12" i="1"/>
  <c r="I11" i="1"/>
  <c r="H14" i="1"/>
  <c r="H13" i="1"/>
  <c r="H12" i="1"/>
  <c r="H11" i="1"/>
  <c r="F11" i="1"/>
  <c r="E11" i="1"/>
  <c r="D11" i="1"/>
  <c r="C11" i="1"/>
  <c r="B11" i="1"/>
  <c r="F12" i="1"/>
  <c r="E12" i="1"/>
  <c r="D12" i="1"/>
  <c r="C12" i="1"/>
  <c r="B12" i="1"/>
  <c r="M5" i="1"/>
  <c r="J7" i="1"/>
  <c r="J6" i="1"/>
  <c r="J5" i="1"/>
  <c r="J4" i="1"/>
  <c r="J3" i="1"/>
  <c r="G6" i="1"/>
</calcChain>
</file>

<file path=xl/sharedStrings.xml><?xml version="1.0" encoding="utf-8"?>
<sst xmlns="http://schemas.openxmlformats.org/spreadsheetml/2006/main" count="88" uniqueCount="46">
  <si>
    <t>Monday</t>
  </si>
  <si>
    <t>Tuesday</t>
  </si>
  <si>
    <t>Wednesday</t>
  </si>
  <si>
    <t>Thursday</t>
  </si>
  <si>
    <t>Friday</t>
  </si>
  <si>
    <t>Saturday</t>
  </si>
  <si>
    <t>Sunday</t>
  </si>
  <si>
    <t>Mango</t>
  </si>
  <si>
    <t>Apple</t>
  </si>
  <si>
    <t>Litchi</t>
  </si>
  <si>
    <t>Guava</t>
  </si>
  <si>
    <t>Pineapple</t>
  </si>
  <si>
    <t>Equal</t>
  </si>
  <si>
    <t>Not Equal</t>
  </si>
  <si>
    <t>Greater then</t>
  </si>
  <si>
    <t>Less than</t>
  </si>
  <si>
    <t>Greater than &amp; Equal</t>
  </si>
  <si>
    <t>Less than &amp; Equal</t>
  </si>
  <si>
    <t>Name</t>
  </si>
  <si>
    <t>Marks</t>
  </si>
  <si>
    <t>Result</t>
  </si>
  <si>
    <t>Susmita</t>
  </si>
  <si>
    <t>Kumkum</t>
  </si>
  <si>
    <t>Ayush</t>
  </si>
  <si>
    <t>Arnab</t>
  </si>
  <si>
    <t>Trim</t>
  </si>
  <si>
    <t>Upper</t>
  </si>
  <si>
    <t>Lower</t>
  </si>
  <si>
    <t>Proper</t>
  </si>
  <si>
    <t>Len</t>
  </si>
  <si>
    <t xml:space="preserve">  Susmita</t>
  </si>
  <si>
    <t>Kumkum   Raj</t>
  </si>
  <si>
    <t>Left</t>
  </si>
  <si>
    <t>Right</t>
  </si>
  <si>
    <t>Left(a1,a2)</t>
  </si>
  <si>
    <t>Mid(value,mid_val,No_char</t>
  </si>
  <si>
    <t xml:space="preserve"> Susmita</t>
  </si>
  <si>
    <t xml:space="preserve">Kumkum  </t>
  </si>
  <si>
    <t>Last_Name</t>
  </si>
  <si>
    <t>Mondal</t>
  </si>
  <si>
    <t>Raj</t>
  </si>
  <si>
    <t>Bose</t>
  </si>
  <si>
    <t>Full_Name</t>
  </si>
  <si>
    <t>Count(number)</t>
  </si>
  <si>
    <t>Count(text,number)</t>
  </si>
  <si>
    <t>Count_Blank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</si>
</sst>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1"/>
      <color theme="1" tint="-0.499984740745262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6" xfId="0" applyFont="1" applyFill="1" applyBorder="1"/>
    <xf numFmtId="0" fontId="2" fillId="2" borderId="1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2" fillId="4" borderId="1" xfId="0" applyFont="1" applyFill="1" applyBorder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7" borderId="1" xfId="0" applyFont="1" applyFill="1" applyBorder="1"/>
    <xf numFmtId="0" fontId="8" fillId="7" borderId="1" xfId="0" applyFont="1" applyFill="1" applyBorder="1"/>
    <xf numFmtId="0" fontId="9" fillId="8" borderId="1" xfId="0" applyFont="1" applyFill="1" applyBorder="1"/>
    <xf numFmtId="0" fontId="10" fillId="8" borderId="1" xfId="0" applyFont="1" applyFill="1" applyBorder="1"/>
    <xf numFmtId="0" fontId="6" fillId="0" borderId="0" xfId="0" applyFont="1"/>
    <xf numFmtId="0" fontId="3" fillId="5" borderId="3" xfId="0" applyFont="1" applyFill="1" applyBorder="1"/>
    <xf numFmtId="0" fontId="3" fillId="5" borderId="0" xfId="0" applyFont="1" applyFill="1" applyBorder="1"/>
    <xf numFmtId="0" fontId="8" fillId="5" borderId="0" xfId="0" applyFont="1" applyFill="1" applyBorder="1"/>
    <xf numFmtId="0" fontId="2" fillId="5" borderId="6" xfId="0" applyFont="1" applyFill="1" applyBorder="1"/>
    <xf numFmtId="0" fontId="2" fillId="5" borderId="1" xfId="0" applyFont="1" applyFill="1" applyBorder="1"/>
    <xf numFmtId="0" fontId="2" fillId="5" borderId="8" xfId="0" applyFont="1" applyFill="1" applyBorder="1"/>
    <xf numFmtId="0" fontId="11" fillId="4" borderId="3" xfId="0" applyFont="1" applyFill="1" applyBorder="1"/>
    <xf numFmtId="0" fontId="12" fillId="4" borderId="0" xfId="0" applyFont="1" applyFill="1"/>
    <xf numFmtId="0" fontId="12" fillId="4" borderId="6" xfId="0" applyFont="1" applyFill="1" applyBorder="1"/>
    <xf numFmtId="0" fontId="12" fillId="4" borderId="8" xfId="0" applyFont="1" applyFill="1" applyBorder="1"/>
    <xf numFmtId="0" fontId="2" fillId="5" borderId="11" xfId="0" applyFont="1" applyFill="1" applyBorder="1"/>
    <xf numFmtId="0" fontId="2" fillId="5" borderId="2" xfId="0" applyFont="1" applyFill="1" applyBorder="1"/>
    <xf numFmtId="0" fontId="2" fillId="5" borderId="0" xfId="0" applyFont="1" applyFill="1" applyBorder="1"/>
    <xf numFmtId="0" fontId="13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FF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7008-7B34-4DF8-A409-FB870D2B9D9C}">
  <dimension ref="A1:M24"/>
  <sheetViews>
    <sheetView tabSelected="1" zoomScale="85" workbookViewId="0">
      <selection activeCell="M2" sqref="M2"/>
    </sheetView>
  </sheetViews>
  <sheetFormatPr defaultRowHeight="14.4" x14ac:dyDescent="0.3"/>
  <cols>
    <col min="1" max="1" width="11.77734375" bestFit="1" customWidth="1"/>
    <col min="2" max="2" width="11" bestFit="1" customWidth="1"/>
    <col min="3" max="3" width="15.21875" bestFit="1" customWidth="1"/>
    <col min="4" max="4" width="17.21875" bestFit="1" customWidth="1"/>
    <col min="5" max="5" width="11.77734375" bestFit="1" customWidth="1"/>
    <col min="8" max="8" width="11.5546875" customWidth="1"/>
    <col min="10" max="10" width="17.6640625" bestFit="1" customWidth="1"/>
    <col min="11" max="11" width="23.33203125" customWidth="1"/>
    <col min="12" max="12" width="23" customWidth="1"/>
    <col min="13" max="13" width="9.5546875" bestFit="1" customWidth="1"/>
  </cols>
  <sheetData>
    <row r="1" spans="1:13" x14ac:dyDescent="0.3">
      <c r="A1" s="12" t="s">
        <v>0</v>
      </c>
      <c r="B1" s="11" t="s">
        <v>7</v>
      </c>
      <c r="C1" s="10" t="s">
        <v>8</v>
      </c>
      <c r="D1" s="10" t="s">
        <v>8</v>
      </c>
      <c r="E1" s="10" t="s">
        <v>8</v>
      </c>
      <c r="F1" s="10" t="s">
        <v>8</v>
      </c>
      <c r="G1" s="13">
        <v>45</v>
      </c>
      <c r="H1" s="14">
        <v>45</v>
      </c>
      <c r="I1" s="14">
        <v>56</v>
      </c>
      <c r="J1" s="14"/>
      <c r="K1" s="16" t="s">
        <v>18</v>
      </c>
      <c r="L1" s="16" t="s">
        <v>19</v>
      </c>
      <c r="M1" s="16" t="s">
        <v>20</v>
      </c>
    </row>
    <row r="2" spans="1:13" x14ac:dyDescent="0.3">
      <c r="A2" s="12" t="s">
        <v>1</v>
      </c>
      <c r="B2" s="11" t="s">
        <v>8</v>
      </c>
      <c r="C2" s="10" t="s">
        <v>8</v>
      </c>
      <c r="D2" s="10" t="s">
        <v>8</v>
      </c>
      <c r="E2" s="10" t="s">
        <v>8</v>
      </c>
      <c r="F2" s="10" t="s">
        <v>8</v>
      </c>
      <c r="G2" s="13">
        <v>67</v>
      </c>
      <c r="H2" s="15"/>
      <c r="I2" s="15" t="s">
        <v>12</v>
      </c>
      <c r="J2" s="15" t="b">
        <f>H1=I1</f>
        <v>0</v>
      </c>
      <c r="K2" s="17" t="s">
        <v>21</v>
      </c>
      <c r="L2" s="17">
        <v>10</v>
      </c>
      <c r="M2" s="17" t="str">
        <f>IF(AND(L3&gt;=0,L2&lt;40),"Fail",IF(AND(L2&gt;=40,L2&lt;60),"Pass",IF(AND(L2&gt;=60,L2&lt;=100),"Distinction","Invalid")))</f>
        <v>Fail</v>
      </c>
    </row>
    <row r="3" spans="1:13" x14ac:dyDescent="0.3">
      <c r="A3" s="12" t="s">
        <v>2</v>
      </c>
      <c r="B3" s="11" t="s">
        <v>9</v>
      </c>
      <c r="C3" s="10" t="s">
        <v>8</v>
      </c>
      <c r="D3" s="10" t="s">
        <v>8</v>
      </c>
      <c r="E3" s="10" t="s">
        <v>8</v>
      </c>
      <c r="F3" s="10" t="s">
        <v>8</v>
      </c>
      <c r="G3" s="13">
        <v>36</v>
      </c>
      <c r="H3" s="15"/>
      <c r="I3" s="15" t="s">
        <v>13</v>
      </c>
      <c r="J3" s="15" t="b">
        <f>H1&lt;&gt;I1</f>
        <v>1</v>
      </c>
      <c r="K3" s="17" t="s">
        <v>22</v>
      </c>
      <c r="L3" s="17">
        <v>307</v>
      </c>
      <c r="M3" s="17" t="str">
        <f>IF(AND(L4&gt;=0,L3&lt;40),"Fail",IF(AND(L3&gt;=40,L3&lt;60),"Pass",IF(AND(L3&gt;=60,L3&lt;=100),"Distinction","Invalid")))</f>
        <v>Invalid</v>
      </c>
    </row>
    <row r="4" spans="1:13" x14ac:dyDescent="0.3">
      <c r="A4" s="12" t="s">
        <v>3</v>
      </c>
      <c r="B4" s="11" t="s">
        <v>10</v>
      </c>
      <c r="C4" s="10" t="s">
        <v>8</v>
      </c>
      <c r="D4" s="10" t="s">
        <v>8</v>
      </c>
      <c r="E4" s="10" t="s">
        <v>8</v>
      </c>
      <c r="F4" s="10" t="s">
        <v>8</v>
      </c>
      <c r="G4" s="13">
        <v>83</v>
      </c>
      <c r="H4" s="15"/>
      <c r="I4" s="15" t="s">
        <v>14</v>
      </c>
      <c r="J4" s="15" t="b">
        <f>H1&gt;I1</f>
        <v>0</v>
      </c>
      <c r="K4" s="17" t="s">
        <v>23</v>
      </c>
      <c r="L4" s="17">
        <v>50</v>
      </c>
      <c r="M4" s="17" t="str">
        <f>IF(AND(L5&gt;=0,L4&lt;40),"Fail",IF(AND(L4&gt;=40,L4&lt;60),"Pass",IF(AND(L4&gt;=60,L4&lt;=100),"Distinction","Invalid")))</f>
        <v>Pass</v>
      </c>
    </row>
    <row r="5" spans="1:13" x14ac:dyDescent="0.3">
      <c r="A5" s="12" t="s">
        <v>4</v>
      </c>
      <c r="B5" s="11" t="s">
        <v>11</v>
      </c>
      <c r="C5" s="10" t="s">
        <v>8</v>
      </c>
      <c r="D5" s="10" t="s">
        <v>8</v>
      </c>
      <c r="E5" s="10" t="s">
        <v>8</v>
      </c>
      <c r="F5" s="10" t="s">
        <v>8</v>
      </c>
      <c r="G5" s="13">
        <v>98</v>
      </c>
      <c r="H5" s="15"/>
      <c r="I5" s="15" t="s">
        <v>15</v>
      </c>
      <c r="J5" s="15" t="b">
        <f>H1&lt;I1</f>
        <v>1</v>
      </c>
      <c r="K5" s="17" t="s">
        <v>24</v>
      </c>
      <c r="L5" s="17">
        <v>70</v>
      </c>
      <c r="M5" s="17" t="str">
        <f>IF(AND(N6&gt;=0,L5&lt;40),"Fail",IF(AND(L5&gt;=40,L5&lt;60),"Pass",IF(AND(L5&gt;=60,L5&lt;=100),"Distinction","Invalid")))</f>
        <v>Distinction</v>
      </c>
    </row>
    <row r="6" spans="1:13" x14ac:dyDescent="0.3">
      <c r="A6" s="12" t="s">
        <v>5</v>
      </c>
      <c r="C6" s="10" t="s">
        <v>8</v>
      </c>
      <c r="D6" s="10" t="s">
        <v>8</v>
      </c>
      <c r="E6" s="10" t="s">
        <v>8</v>
      </c>
      <c r="F6" s="10" t="s">
        <v>8</v>
      </c>
      <c r="G6" s="18">
        <f>SUM(G1:G5)</f>
        <v>329</v>
      </c>
      <c r="H6" s="15"/>
      <c r="I6" s="15" t="s">
        <v>16</v>
      </c>
      <c r="J6" s="15" t="b">
        <f>H1&gt;=I1</f>
        <v>0</v>
      </c>
    </row>
    <row r="7" spans="1:13" x14ac:dyDescent="0.3">
      <c r="A7" s="12" t="s">
        <v>6</v>
      </c>
      <c r="H7" s="15"/>
      <c r="I7" s="15" t="s">
        <v>17</v>
      </c>
      <c r="J7" s="15" t="b">
        <f>H1&lt;=I1</f>
        <v>1</v>
      </c>
    </row>
    <row r="9" spans="1:13" ht="15" thickBot="1" x14ac:dyDescent="0.35"/>
    <row r="10" spans="1:13" x14ac:dyDescent="0.3">
      <c r="A10" s="7" t="s">
        <v>18</v>
      </c>
      <c r="B10" s="8" t="s">
        <v>25</v>
      </c>
      <c r="C10" s="8" t="s">
        <v>26</v>
      </c>
      <c r="D10" s="8" t="s">
        <v>27</v>
      </c>
      <c r="E10" s="8" t="s">
        <v>28</v>
      </c>
      <c r="F10" s="9" t="s">
        <v>29</v>
      </c>
      <c r="G10" s="19" t="s">
        <v>18</v>
      </c>
      <c r="H10" s="20" t="s">
        <v>32</v>
      </c>
      <c r="I10" s="21" t="s">
        <v>34</v>
      </c>
      <c r="J10" s="20" t="s">
        <v>33</v>
      </c>
      <c r="K10" s="20" t="s">
        <v>35</v>
      </c>
    </row>
    <row r="11" spans="1:13" x14ac:dyDescent="0.3">
      <c r="A11" s="1" t="s">
        <v>30</v>
      </c>
      <c r="B11" s="2" t="str">
        <f>TRIM(A11)</f>
        <v>Susmita</v>
      </c>
      <c r="C11" s="2" t="str">
        <f>UPPER(B11)</f>
        <v>SUSMITA</v>
      </c>
      <c r="D11" s="2" t="str">
        <f>LOWER(C11)</f>
        <v>susmita</v>
      </c>
      <c r="E11" s="2" t="str">
        <f>PROPER(D11)</f>
        <v>Susmita</v>
      </c>
      <c r="F11" s="3">
        <f>LEN(E11)</f>
        <v>7</v>
      </c>
      <c r="G11" s="22" t="s">
        <v>21</v>
      </c>
      <c r="H11" s="23" t="str">
        <f>LEFT(G11)</f>
        <v>S</v>
      </c>
      <c r="I11" s="23" t="str">
        <f>LEFT(G11,2)</f>
        <v>Su</v>
      </c>
      <c r="J11" s="23" t="str">
        <f>RIGHT(G11)</f>
        <v>a</v>
      </c>
      <c r="K11" s="23" t="str">
        <f>MID(G11,2,3)</f>
        <v>usm</v>
      </c>
    </row>
    <row r="12" spans="1:13" x14ac:dyDescent="0.3">
      <c r="A12" s="1" t="s">
        <v>31</v>
      </c>
      <c r="B12" s="2" t="str">
        <f>TRIM(A12)</f>
        <v>Kumkum Raj</v>
      </c>
      <c r="C12" s="2" t="str">
        <f>UPPER(A12)</f>
        <v>KUMKUM   RAJ</v>
      </c>
      <c r="D12" s="2" t="str">
        <f>LOWER(A12)</f>
        <v>kumkum   raj</v>
      </c>
      <c r="E12" s="2" t="str">
        <f>PROPER(A12)</f>
        <v>Kumkum   Raj</v>
      </c>
      <c r="F12" s="3">
        <f>LEN(A12)</f>
        <v>12</v>
      </c>
      <c r="G12" s="22" t="s">
        <v>31</v>
      </c>
      <c r="H12" s="23" t="str">
        <f>LEFT(G12)</f>
        <v>K</v>
      </c>
      <c r="I12" s="23" t="str">
        <f>LEFT(G12,3)</f>
        <v>Kum</v>
      </c>
      <c r="J12" s="23" t="str">
        <f t="shared" ref="J12:J15" si="0">RIGHT(G12)</f>
        <v>j</v>
      </c>
      <c r="K12" s="23" t="str">
        <f t="shared" ref="K12:K15" si="1">MID(G12,2,3)</f>
        <v>umk</v>
      </c>
    </row>
    <row r="13" spans="1:13" x14ac:dyDescent="0.3">
      <c r="A13" s="1" t="s">
        <v>23</v>
      </c>
      <c r="B13" s="2"/>
      <c r="C13" s="2"/>
      <c r="D13" s="2"/>
      <c r="E13" s="2"/>
      <c r="F13" s="3"/>
      <c r="G13" s="22" t="s">
        <v>23</v>
      </c>
      <c r="H13" s="23" t="str">
        <f>LEFT(G13)</f>
        <v>A</v>
      </c>
      <c r="I13" s="23" t="str">
        <f>LEFT(G13,4)</f>
        <v>Ayus</v>
      </c>
      <c r="J13" s="23" t="str">
        <f t="shared" si="0"/>
        <v>h</v>
      </c>
      <c r="K13" s="23" t="str">
        <f t="shared" si="1"/>
        <v>yus</v>
      </c>
    </row>
    <row r="14" spans="1:13" ht="15" thickBot="1" x14ac:dyDescent="0.35">
      <c r="A14" s="4" t="s">
        <v>24</v>
      </c>
      <c r="B14" s="5"/>
      <c r="C14" s="5"/>
      <c r="D14" s="5"/>
      <c r="E14" s="5"/>
      <c r="F14" s="6"/>
      <c r="G14" s="24" t="s">
        <v>24</v>
      </c>
      <c r="H14" s="23" t="str">
        <f>LEFT(G14)</f>
        <v>A</v>
      </c>
      <c r="I14" s="23" t="str">
        <f>LEFT(G14,2)</f>
        <v>Ar</v>
      </c>
      <c r="J14" s="23" t="str">
        <f t="shared" si="0"/>
        <v>b</v>
      </c>
      <c r="K14" s="23" t="str">
        <f t="shared" si="1"/>
        <v>rna</v>
      </c>
    </row>
    <row r="15" spans="1:13" x14ac:dyDescent="0.3">
      <c r="A15" s="25" t="s">
        <v>18</v>
      </c>
      <c r="B15" s="26" t="s">
        <v>38</v>
      </c>
      <c r="C15" s="26" t="s">
        <v>42</v>
      </c>
      <c r="G15" s="29"/>
      <c r="H15" s="30"/>
      <c r="J15" s="31"/>
      <c r="K15" s="31"/>
    </row>
    <row r="16" spans="1:13" x14ac:dyDescent="0.3">
      <c r="A16" s="27" t="s">
        <v>36</v>
      </c>
      <c r="B16" s="26" t="s">
        <v>39</v>
      </c>
      <c r="C16" s="26" t="str">
        <f>_xlfn.CONCAT(A16," ",B16)</f>
        <v xml:space="preserve"> Susmita Mondal</v>
      </c>
    </row>
    <row r="17" spans="1:5" x14ac:dyDescent="0.3">
      <c r="A17" s="27" t="s">
        <v>37</v>
      </c>
      <c r="B17" s="26" t="s">
        <v>39</v>
      </c>
      <c r="C17" s="26" t="str">
        <f>_xlfn.CONCAT(A17," ",B17)</f>
        <v>Kumkum   Mondal</v>
      </c>
    </row>
    <row r="18" spans="1:5" x14ac:dyDescent="0.3">
      <c r="A18" s="27" t="s">
        <v>23</v>
      </c>
      <c r="B18" s="26" t="s">
        <v>40</v>
      </c>
      <c r="C18" s="26" t="str">
        <f t="shared" ref="C18:C19" si="2">_xlfn.CONCAT(A18," ",B18)</f>
        <v>Ayush Raj</v>
      </c>
    </row>
    <row r="19" spans="1:5" ht="15" thickBot="1" x14ac:dyDescent="0.35">
      <c r="A19" s="28" t="s">
        <v>24</v>
      </c>
      <c r="B19" s="26" t="s">
        <v>41</v>
      </c>
      <c r="C19" s="26" t="str">
        <f t="shared" si="2"/>
        <v>Arnab Bose</v>
      </c>
    </row>
    <row r="20" spans="1:5" x14ac:dyDescent="0.3">
      <c r="A20" s="16" t="s">
        <v>18</v>
      </c>
      <c r="B20" s="16" t="s">
        <v>19</v>
      </c>
      <c r="C20" s="32" t="s">
        <v>43</v>
      </c>
      <c r="D20" s="32" t="s">
        <v>44</v>
      </c>
      <c r="E20" s="32" t="s">
        <v>45</v>
      </c>
    </row>
    <row r="21" spans="1:5" x14ac:dyDescent="0.3">
      <c r="A21" s="17" t="s">
        <v>21</v>
      </c>
      <c r="B21" s="17">
        <v>10</v>
      </c>
      <c r="C21" s="32">
        <f>COUNT(B21:B24)</f>
        <v>4</v>
      </c>
      <c r="D21" s="32">
        <f>COUNTA(A21:A24)</f>
        <v>4</v>
      </c>
      <c r="E21" s="32">
        <f>COUNTBLANK(A21:A24)</f>
        <v>0</v>
      </c>
    </row>
    <row r="22" spans="1:5" x14ac:dyDescent="0.3">
      <c r="A22" s="17" t="s">
        <v>22</v>
      </c>
      <c r="B22" s="17">
        <v>307</v>
      </c>
      <c r="C22" s="32"/>
      <c r="D22" s="32"/>
      <c r="E22" s="32"/>
    </row>
    <row r="23" spans="1:5" x14ac:dyDescent="0.3">
      <c r="A23" s="17" t="s">
        <v>23</v>
      </c>
      <c r="B23" s="17">
        <v>50</v>
      </c>
      <c r="C23" s="32"/>
      <c r="D23" s="32"/>
      <c r="E23" s="32"/>
    </row>
    <row r="24" spans="1:5" x14ac:dyDescent="0.3">
      <c r="A24" s="17" t="s">
        <v>24</v>
      </c>
      <c r="B24" s="17">
        <v>70</v>
      </c>
      <c r="C24" s="32"/>
      <c r="D24" s="32"/>
      <c r="E24" s="3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kumkum mondal</dc:creator>
  <cp:lastModifiedBy>kumkum mondal</cp:lastModifiedBy>
  <dcterms:created xsi:type="dcterms:W3CDTF">2025-11-21T05:13:04Z</dcterms:created>
  <dcterms:modified xsi:type="dcterms:W3CDTF">2025-11-21T07:23:47Z</dcterms:modified>
</cp:coreProperties>
</file>