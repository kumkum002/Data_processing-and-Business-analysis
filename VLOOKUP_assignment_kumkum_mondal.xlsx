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13_ncr:1_{C9A7E2BD-DB08-4D53-8E83-25DFF407248F}" xr6:coauthVersionLast="47" xr6:coauthVersionMax="47" xr10:uidLastSave="{00000000-0000-0000-0000-000000000000}"/>
  <bookViews>
    <workbookView xWindow="-108" yWindow="-108" windowWidth="23256" windowHeight="12456" xr2:uid="{3881F69C-D9FE-4BEA-A5A3-090ECE761E53}"/>
  </bookViews>
  <sheets>
    <sheet name="Sheet1" sheetId="1" r:id="rId1"/>
    <sheet name="Sheet2" sheetId="2" r:id="rId2"/>
  </sheets>
  <definedNames>
    <definedName name="Orders">Sheet2!$C$2:$F$9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K4" i="2"/>
  <c r="G3" i="1"/>
  <c r="G4" i="1"/>
  <c r="G5" i="1"/>
  <c r="G6" i="1"/>
  <c r="G7" i="1"/>
  <c r="G2" i="1"/>
  <c r="H5" i="2"/>
  <c r="H6" i="2"/>
  <c r="H7" i="2"/>
  <c r="H8" i="2"/>
  <c r="H9" i="2"/>
  <c r="H4" i="2"/>
  <c r="G4" i="2"/>
  <c r="F4" i="2" s="1"/>
  <c r="G5" i="2"/>
  <c r="F5" i="2" s="1"/>
  <c r="G6" i="2"/>
  <c r="F6" i="2" s="1"/>
  <c r="G7" i="2"/>
  <c r="F7" i="2" s="1"/>
  <c r="G8" i="2"/>
  <c r="F8" i="2" s="1"/>
  <c r="G9" i="2"/>
  <c r="F9" i="2" s="1"/>
  <c r="F3" i="1"/>
  <c r="F4" i="1"/>
  <c r="F5" i="1"/>
  <c r="F6" i="1"/>
  <c r="F7" i="1"/>
  <c r="F2" i="1"/>
  <c r="E3" i="1"/>
  <c r="E4" i="1"/>
  <c r="E5" i="1"/>
  <c r="E6" i="1"/>
  <c r="E7" i="1"/>
  <c r="E2" i="1"/>
  <c r="D7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<sst xmlns="http://schemas.openxmlformats.org/spreadsheetml/2006/main" count="27" uniqueCount="24">
  <si>
    <t>ProductID</t>
  </si>
  <si>
    <t>Product</t>
  </si>
  <si>
    <t>Price</t>
  </si>
  <si>
    <t>Product F</t>
  </si>
  <si>
    <t>Product E</t>
  </si>
  <si>
    <t>Product D</t>
  </si>
  <si>
    <t>Product C</t>
  </si>
  <si>
    <t>Product B</t>
  </si>
  <si>
    <t>Orders</t>
  </si>
  <si>
    <t>OrderID</t>
  </si>
  <si>
    <t>Quantity</t>
  </si>
  <si>
    <t>Total_Price</t>
  </si>
  <si>
    <t>Q1.</t>
  </si>
  <si>
    <t>Q2.</t>
  </si>
  <si>
    <t>Q3</t>
  </si>
  <si>
    <t>Q4</t>
  </si>
  <si>
    <t xml:space="preserve"> </t>
  </si>
  <si>
    <t>Product A</t>
  </si>
  <si>
    <t>Q5</t>
  </si>
  <si>
    <t>Order value</t>
  </si>
  <si>
    <t>Order satatus  Q6</t>
  </si>
  <si>
    <t>Product ID</t>
  </si>
  <si>
    <t>Product Name</t>
  </si>
  <si>
    <r>
      <rPr>
        <b/>
        <sz val="11"/>
        <color theme="2" tint="-0.89999084444715716"/>
        <rFont val="Aptos Narrow"/>
        <family val="2"/>
        <scheme val="minor"/>
      </rPr>
      <t>Q7</t>
    </r>
    <r>
      <rPr>
        <sz val="11"/>
        <color theme="2" tint="-0.89999084444715716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</si>
</sst>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u/>
      <sz val="11"/>
      <color theme="2" tint="-0.899990844447157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3" borderId="3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2" fillId="3" borderId="4" xfId="0" applyFont="1" applyFill="1" applyBorder="1"/>
    <xf numFmtId="0" fontId="2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8966-423F-4DB9-B6BE-017E69C5E2CB}">
  <dimension ref="A1:AK43"/>
  <sheetViews>
    <sheetView tabSelected="1" workbookViewId="0">
      <selection activeCell="G13" sqref="G13"/>
    </sheetView>
  </sheetViews>
  <sheetFormatPr defaultRowHeight="14.4" x14ac:dyDescent="0.3"/>
  <cols>
    <col min="2" max="2" width="9.77734375" bestFit="1" customWidth="1"/>
    <col min="4" max="5" width="9.77734375" bestFit="1" customWidth="1"/>
    <col min="7" max="7" width="15" bestFit="1" customWidth="1"/>
  </cols>
  <sheetData>
    <row r="1" spans="1:37" x14ac:dyDescent="0.3">
      <c r="A1" s="3" t="s">
        <v>0</v>
      </c>
      <c r="B1" s="3" t="s">
        <v>1</v>
      </c>
      <c r="C1" s="3" t="s">
        <v>2</v>
      </c>
      <c r="D1" s="2" t="s">
        <v>12</v>
      </c>
      <c r="E1" s="2" t="s">
        <v>14</v>
      </c>
      <c r="F1" s="2" t="s">
        <v>15</v>
      </c>
      <c r="G1" s="2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3">
      <c r="A2" s="4">
        <v>101</v>
      </c>
      <c r="B2" s="4" t="s">
        <v>17</v>
      </c>
      <c r="C2" s="4">
        <v>120</v>
      </c>
      <c r="D2" s="1" t="str">
        <f>VLOOKUP(A2, Sheet1!$A$2:$C$7, 2,0)</f>
        <v>Product A</v>
      </c>
      <c r="E2" s="1" t="str">
        <f t="shared" ref="E2:E7" si="0">IF(ISNA(VLOOKUP(B2,Products,1,0)),"not fount","ok")</f>
        <v>not fount</v>
      </c>
      <c r="F2" s="1">
        <f t="shared" ref="F2:F7" si="1">VLOOKUP(A2,Products,3,0)*0.9</f>
        <v>108</v>
      </c>
      <c r="G2" s="1" t="str">
        <f>IF(ISNA(VLOOKUP(A2,Sheet2!$D$3:$F$9,1,0)),"Not order","Ordered")</f>
        <v>Ordered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3">
      <c r="A3" s="4">
        <v>102</v>
      </c>
      <c r="B3" s="4" t="s">
        <v>7</v>
      </c>
      <c r="C3" s="4">
        <v>150</v>
      </c>
      <c r="D3" s="1" t="str">
        <f>VLOOKUP(A3, Sheet1!$A$2:$C$7, 2,0)</f>
        <v>Product B</v>
      </c>
      <c r="E3" s="1" t="str">
        <f t="shared" si="0"/>
        <v>not fount</v>
      </c>
      <c r="F3" s="1">
        <f t="shared" si="1"/>
        <v>135</v>
      </c>
      <c r="G3" s="1" t="str">
        <f>IF(ISNA(VLOOKUP(A3,Sheet2!$D$3:$F$9,1,0)),"Not order","Ordered")</f>
        <v>Ordered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3">
      <c r="A4" s="4">
        <v>103</v>
      </c>
      <c r="B4" s="4" t="s">
        <v>6</v>
      </c>
      <c r="C4" s="4">
        <v>200</v>
      </c>
      <c r="D4" s="1" t="str">
        <f>VLOOKUP(A4, Sheet1!$A$2:$C$7, 2,0)</f>
        <v>Product C</v>
      </c>
      <c r="E4" s="1" t="str">
        <f t="shared" si="0"/>
        <v>not fount</v>
      </c>
      <c r="F4" s="1">
        <f t="shared" si="1"/>
        <v>180</v>
      </c>
      <c r="G4" s="1" t="str">
        <f>IF(ISNA(VLOOKUP(A4,Sheet2!$D$3:$F$9,1,0)),"Not order","Ordered")</f>
        <v>Ordered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3">
      <c r="A5" s="4">
        <v>104</v>
      </c>
      <c r="B5" s="4" t="s">
        <v>5</v>
      </c>
      <c r="C5" s="4">
        <v>90</v>
      </c>
      <c r="D5" s="1" t="str">
        <f>VLOOKUP(A5, Sheet1!$A$2:$C$7, 2,0)</f>
        <v>Product D</v>
      </c>
      <c r="E5" s="1" t="str">
        <f t="shared" si="0"/>
        <v>not fount</v>
      </c>
      <c r="F5" s="1">
        <f t="shared" si="1"/>
        <v>81</v>
      </c>
      <c r="G5" s="1" t="str">
        <f>IF(ISNA(VLOOKUP(A5,Sheet2!$D$3:$F$9,1,0)),"Not order","Ordered")</f>
        <v>Ordered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3">
      <c r="A6" s="4">
        <v>105</v>
      </c>
      <c r="B6" s="4" t="s">
        <v>4</v>
      </c>
      <c r="C6" s="4">
        <v>220</v>
      </c>
      <c r="D6" s="1" t="str">
        <f>VLOOKUP(A6, Sheet1!$A$2:$C$7, 2,0)</f>
        <v>Product E</v>
      </c>
      <c r="E6" s="1" t="str">
        <f t="shared" si="0"/>
        <v>not fount</v>
      </c>
      <c r="F6" s="1">
        <f t="shared" si="1"/>
        <v>198</v>
      </c>
      <c r="G6" s="1" t="str">
        <f>IF(ISNA(VLOOKUP(A6,Sheet2!$D$3:$F$9,1,0)),"Not order","Ordered")</f>
        <v>Ordered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3">
      <c r="A7" s="4">
        <v>106</v>
      </c>
      <c r="B7" s="4" t="s">
        <v>3</v>
      </c>
      <c r="C7" s="4">
        <v>130</v>
      </c>
      <c r="D7" s="1" t="str">
        <f>VLOOKUP(A7, Sheet1!$A$2:$C$7, 2,0)</f>
        <v>Product F</v>
      </c>
      <c r="E7" s="1" t="str">
        <f t="shared" si="0"/>
        <v>not fount</v>
      </c>
      <c r="F7" s="1">
        <f t="shared" si="1"/>
        <v>117</v>
      </c>
      <c r="G7" s="1" t="str">
        <f>IF(ISNA(VLOOKUP(A7,Sheet2!$D$3:$F$9,1,0)),"Not order","Ordered")</f>
        <v>Ordered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3">
      <c r="A8" s="1"/>
      <c r="B8" s="1"/>
      <c r="C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3">
      <c r="A9" s="1"/>
      <c r="B9" s="1"/>
      <c r="C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">
      <c r="A10" s="1"/>
      <c r="B10" s="1"/>
      <c r="C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3">
      <c r="A11" s="1"/>
      <c r="B11" s="1"/>
      <c r="C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">
      <c r="A12" s="1"/>
      <c r="B12" s="1"/>
      <c r="C12" s="1"/>
      <c r="E1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3">
      <c r="A13" s="1"/>
      <c r="B13" s="1"/>
      <c r="C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3">
      <c r="A14" s="1"/>
      <c r="B14" s="1"/>
      <c r="C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0E04-5714-4321-A5C1-2BC727B2AE18}">
  <dimension ref="A1:V25"/>
  <sheetViews>
    <sheetView workbookViewId="0">
      <selection activeCell="I14" sqref="I14"/>
    </sheetView>
  </sheetViews>
  <sheetFormatPr defaultRowHeight="14.4" x14ac:dyDescent="0.3"/>
  <cols>
    <col min="6" max="6" width="10.21875" bestFit="1" customWidth="1"/>
    <col min="8" max="8" width="10.21875" bestFit="1" customWidth="1"/>
    <col min="11" max="11" width="12.5546875" bestFit="1" customWidth="1"/>
  </cols>
  <sheetData>
    <row r="1" spans="1:22" x14ac:dyDescent="0.3">
      <c r="A1" s="1"/>
      <c r="B1" s="1"/>
      <c r="C1" s="1"/>
      <c r="D1" s="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9"/>
      <c r="D2" s="10"/>
      <c r="E2" s="11" t="s">
        <v>8</v>
      </c>
      <c r="F2" s="8"/>
      <c r="G2" s="2" t="s">
        <v>13</v>
      </c>
      <c r="H2" s="2" t="s">
        <v>18</v>
      </c>
      <c r="I2" s="1"/>
      <c r="J2" s="1" t="s">
        <v>23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/>
      <c r="B3" s="1"/>
      <c r="C3" s="6" t="s">
        <v>9</v>
      </c>
      <c r="D3" s="6" t="s">
        <v>0</v>
      </c>
      <c r="E3" s="6" t="s">
        <v>10</v>
      </c>
      <c r="F3" s="6" t="s">
        <v>11</v>
      </c>
      <c r="G3" s="3" t="s">
        <v>2</v>
      </c>
      <c r="H3" s="1" t="s">
        <v>19</v>
      </c>
      <c r="I3" s="1"/>
      <c r="J3" s="12" t="s">
        <v>21</v>
      </c>
      <c r="K3" s="12" t="s">
        <v>22</v>
      </c>
      <c r="L3" s="12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1"/>
      <c r="B4" s="1"/>
      <c r="C4" s="7">
        <v>1</v>
      </c>
      <c r="D4" s="7">
        <v>101</v>
      </c>
      <c r="E4" s="7">
        <v>2</v>
      </c>
      <c r="F4" s="7">
        <f>E4*G4</f>
        <v>240</v>
      </c>
      <c r="G4" s="4">
        <f t="shared" ref="G4:G9" si="0">VLOOKUP(D4,Products,3,0)</f>
        <v>120</v>
      </c>
      <c r="H4">
        <f>G4*E4</f>
        <v>240</v>
      </c>
      <c r="I4" s="1"/>
      <c r="J4" s="13">
        <v>106</v>
      </c>
      <c r="K4" s="13" t="str">
        <f>VLOOKUP(J4,Products,2,0)</f>
        <v>Product F</v>
      </c>
      <c r="L4" s="13">
        <f>VLOOKUP(J4,D3:F9,3,0)</f>
        <v>390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1"/>
      <c r="B5" s="1"/>
      <c r="C5" s="7">
        <v>2</v>
      </c>
      <c r="D5" s="7">
        <v>103</v>
      </c>
      <c r="E5" s="7">
        <v>1</v>
      </c>
      <c r="F5" s="7">
        <f t="shared" ref="F5:F9" si="1">E5*G5</f>
        <v>200</v>
      </c>
      <c r="G5" s="4">
        <f t="shared" si="0"/>
        <v>200</v>
      </c>
      <c r="H5">
        <f t="shared" ref="H5:H9" si="2">G5*E5</f>
        <v>200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1"/>
      <c r="B6" s="1"/>
      <c r="C6" s="7">
        <v>3</v>
      </c>
      <c r="D6" s="7">
        <v>105</v>
      </c>
      <c r="E6" s="7">
        <v>4</v>
      </c>
      <c r="F6" s="7">
        <f t="shared" si="1"/>
        <v>880</v>
      </c>
      <c r="G6" s="4">
        <f t="shared" si="0"/>
        <v>220</v>
      </c>
      <c r="H6">
        <f t="shared" si="2"/>
        <v>880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1"/>
      <c r="B7" s="1"/>
      <c r="C7" s="7">
        <v>4</v>
      </c>
      <c r="D7" s="7">
        <v>106</v>
      </c>
      <c r="E7" s="7">
        <v>3</v>
      </c>
      <c r="F7" s="7">
        <f t="shared" si="1"/>
        <v>390</v>
      </c>
      <c r="G7" s="4">
        <f t="shared" si="0"/>
        <v>130</v>
      </c>
      <c r="H7">
        <f t="shared" si="2"/>
        <v>390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1"/>
      <c r="B8" s="1"/>
      <c r="C8" s="7">
        <v>5</v>
      </c>
      <c r="D8" s="7">
        <v>102</v>
      </c>
      <c r="E8" s="7">
        <v>5</v>
      </c>
      <c r="F8" s="7">
        <f t="shared" si="1"/>
        <v>750</v>
      </c>
      <c r="G8" s="4">
        <f t="shared" si="0"/>
        <v>150</v>
      </c>
      <c r="H8">
        <f t="shared" si="2"/>
        <v>750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1"/>
      <c r="B9" s="1"/>
      <c r="C9" s="7">
        <v>6</v>
      </c>
      <c r="D9" s="7">
        <v>104</v>
      </c>
      <c r="E9" s="7">
        <v>6</v>
      </c>
      <c r="F9" s="7">
        <f t="shared" si="1"/>
        <v>540</v>
      </c>
      <c r="G9" s="4">
        <f t="shared" si="0"/>
        <v>90</v>
      </c>
      <c r="H9">
        <f t="shared" si="2"/>
        <v>540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2025-11-26T05:06:54Z</dcterms:created>
  <dcterms:modified xsi:type="dcterms:W3CDTF">2025-11-27T07:18:25Z</dcterms:modified>
</cp:coreProperties>
</file>