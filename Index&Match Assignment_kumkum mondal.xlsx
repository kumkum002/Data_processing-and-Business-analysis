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8_{7BE97793-AB3A-4580-91F9-5E85ED120F2C}" xr6:coauthVersionLast="47" xr6:coauthVersionMax="47" xr10:uidLastSave="{00000000-0000-0000-0000-000000000000}"/>
  <bookViews>
    <workbookView xWindow="-108" yWindow="-108" windowWidth="23256" windowHeight="12456" xr2:uid="{A3E77011-6BDE-4630-89D7-0EC8378A7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R6" i="1"/>
  <c r="M32" i="1"/>
  <c r="M28" i="1"/>
  <c r="K6" i="1"/>
  <c r="Q3" i="1"/>
  <c r="N3" i="1"/>
  <c r="K3" i="1"/>
</calcChain>
</file>

<file path=xl/sharedStrings.xml><?xml version="1.0" encoding="utf-8"?>
<sst xmlns="http://schemas.openxmlformats.org/spreadsheetml/2006/main" count="46" uniqueCount="22">
  <si>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</si>
  <si>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</si>
  <si>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</si>
  <si>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</si>
  <si>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</si>
  <si>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</si>
  <si>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</si>
  <si>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</si>
  <si>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</si>
  <si>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</si>
  <si>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</si>
  <si>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</si>
  <si>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</si>
  <si>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</si>
  <si>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</si>
  <si>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</si>
  <si>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</si>
  <si>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>SalesData</t>
  </si>
  <si>
    <t>MAX Sales</t>
  </si>
  <si>
    <t>Avg Sales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</si>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</sst>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9175-96B5-45FB-B6FE-83BF76D8DF18}">
  <dimension ref="A1:R35"/>
  <sheetViews>
    <sheetView tabSelected="1" workbookViewId="0">
      <selection activeCell="P5" sqref="P5:R6"/>
    </sheetView>
  </sheetViews>
  <sheetFormatPr defaultRowHeight="14.4" x14ac:dyDescent="0.3"/>
  <cols>
    <col min="1" max="1" width="11.109375" customWidth="1"/>
    <col min="2" max="2" width="10.5546875" customWidth="1"/>
    <col min="3" max="3" width="12.6640625" customWidth="1"/>
    <col min="4" max="4" width="10.33203125" customWidth="1"/>
    <col min="5" max="5" width="10" customWidth="1"/>
    <col min="6" max="6" width="10.6640625" customWidth="1"/>
    <col min="7" max="7" width="10.109375" customWidth="1"/>
    <col min="8" max="8" width="10" customWidth="1"/>
    <col min="12" max="12" width="10.33203125" bestFit="1" customWidth="1"/>
  </cols>
  <sheetData>
    <row r="1" spans="1:18" x14ac:dyDescent="0.3">
      <c r="A1" s="4" t="s">
        <v>17</v>
      </c>
      <c r="B1" s="4"/>
      <c r="C1" s="4"/>
      <c r="D1" s="4"/>
      <c r="E1" s="4"/>
      <c r="F1" s="4"/>
      <c r="G1" s="4"/>
      <c r="H1" s="4"/>
    </row>
    <row r="2" spans="1:18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J2" s="7" t="s">
        <v>1</v>
      </c>
      <c r="K2" s="8" t="s">
        <v>10</v>
      </c>
      <c r="M2" s="9" t="s">
        <v>1</v>
      </c>
      <c r="N2" s="9" t="s">
        <v>2</v>
      </c>
      <c r="P2" s="9" t="s">
        <v>1</v>
      </c>
      <c r="Q2" s="10" t="s">
        <v>9</v>
      </c>
    </row>
    <row r="3" spans="1:18" x14ac:dyDescent="0.3">
      <c r="A3" s="5">
        <v>101</v>
      </c>
      <c r="B3" s="5" t="s">
        <v>8</v>
      </c>
      <c r="C3" s="5" t="s">
        <v>14</v>
      </c>
      <c r="D3" s="5">
        <v>120</v>
      </c>
      <c r="E3" s="5">
        <v>130</v>
      </c>
      <c r="F3" s="5">
        <v>140</v>
      </c>
      <c r="G3" s="5">
        <v>150</v>
      </c>
      <c r="H3" s="5">
        <v>160</v>
      </c>
      <c r="J3" s="7" t="s">
        <v>5</v>
      </c>
      <c r="K3" s="8">
        <f>INDEX(F3:F8,MATCH(K2,B3:B8,0))</f>
        <v>220</v>
      </c>
      <c r="M3" s="10" t="s">
        <v>12</v>
      </c>
      <c r="N3" s="10" t="str">
        <f>INDEX(C3:C8,MATCH(M3,B3:B8,0))</f>
        <v>Furniture</v>
      </c>
      <c r="P3" s="9" t="s">
        <v>18</v>
      </c>
      <c r="Q3" s="10">
        <f>MAX(D4:H4)</f>
        <v>190</v>
      </c>
    </row>
    <row r="4" spans="1:18" x14ac:dyDescent="0.3">
      <c r="A4" s="5">
        <v>102</v>
      </c>
      <c r="B4" s="5" t="s">
        <v>9</v>
      </c>
      <c r="C4" s="5" t="s">
        <v>15</v>
      </c>
      <c r="D4" s="5">
        <v>150</v>
      </c>
      <c r="E4" s="5">
        <v>160</v>
      </c>
      <c r="F4" s="5">
        <v>170</v>
      </c>
      <c r="G4" s="5">
        <v>180</v>
      </c>
      <c r="H4" s="5">
        <v>190</v>
      </c>
    </row>
    <row r="5" spans="1:18" x14ac:dyDescent="0.3">
      <c r="A5" s="5">
        <v>103</v>
      </c>
      <c r="B5" s="5" t="s">
        <v>10</v>
      </c>
      <c r="C5" s="5" t="s">
        <v>14</v>
      </c>
      <c r="D5" s="5">
        <v>200</v>
      </c>
      <c r="E5" s="5">
        <v>210</v>
      </c>
      <c r="F5" s="5">
        <v>220</v>
      </c>
      <c r="G5" s="5">
        <v>230</v>
      </c>
      <c r="H5" s="5">
        <v>240</v>
      </c>
      <c r="J5" s="9" t="s">
        <v>1</v>
      </c>
      <c r="K5" s="10" t="s">
        <v>8</v>
      </c>
      <c r="M5" s="9" t="s">
        <v>2</v>
      </c>
      <c r="N5" s="9" t="s">
        <v>6</v>
      </c>
      <c r="P5" s="9" t="s">
        <v>1</v>
      </c>
      <c r="Q5" s="9" t="s">
        <v>20</v>
      </c>
      <c r="R5" s="9" t="s">
        <v>21</v>
      </c>
    </row>
    <row r="6" spans="1:18" x14ac:dyDescent="0.3">
      <c r="A6" s="5">
        <v>104</v>
      </c>
      <c r="B6" s="5" t="s">
        <v>11</v>
      </c>
      <c r="C6" s="5" t="s">
        <v>16</v>
      </c>
      <c r="D6" s="5">
        <v>90</v>
      </c>
      <c r="E6" s="5">
        <v>100</v>
      </c>
      <c r="F6" s="5">
        <v>110</v>
      </c>
      <c r="G6" s="5">
        <v>120</v>
      </c>
      <c r="H6" s="5">
        <v>130</v>
      </c>
      <c r="J6" s="9" t="s">
        <v>18</v>
      </c>
      <c r="K6" s="10">
        <f>MAX(D3:H3)</f>
        <v>160</v>
      </c>
      <c r="M6" s="10" t="s">
        <v>14</v>
      </c>
      <c r="N6" s="10">
        <f>SUMIF(C3:C8,"Electronics",INDEX(D3:H8,0,MATCH(N5,D2:H2,0)))</f>
        <v>540</v>
      </c>
      <c r="P6" s="10" t="s">
        <v>9</v>
      </c>
      <c r="Q6" s="9" t="s">
        <v>4</v>
      </c>
      <c r="R6" s="10">
        <f>INDEX(D3:H8,MATCH(P6,B3:B8,0),MATCH(Q6,D2:H2,0))</f>
        <v>160</v>
      </c>
    </row>
    <row r="7" spans="1:18" x14ac:dyDescent="0.3">
      <c r="A7" s="5">
        <v>105</v>
      </c>
      <c r="B7" s="5" t="s">
        <v>12</v>
      </c>
      <c r="C7" s="5" t="s">
        <v>15</v>
      </c>
      <c r="D7" s="5">
        <v>220</v>
      </c>
      <c r="E7" s="5">
        <v>230</v>
      </c>
      <c r="F7" s="5">
        <v>140</v>
      </c>
      <c r="G7" s="5">
        <v>250</v>
      </c>
      <c r="H7" s="5">
        <v>260</v>
      </c>
    </row>
    <row r="8" spans="1:18" x14ac:dyDescent="0.3">
      <c r="A8" s="5">
        <v>106</v>
      </c>
      <c r="B8" s="5" t="s">
        <v>13</v>
      </c>
      <c r="C8" s="5" t="s">
        <v>14</v>
      </c>
      <c r="D8" s="5">
        <v>130</v>
      </c>
      <c r="E8" s="5">
        <v>140</v>
      </c>
      <c r="F8" s="5">
        <v>150</v>
      </c>
      <c r="G8" s="5">
        <v>160</v>
      </c>
      <c r="H8" s="5">
        <v>170</v>
      </c>
    </row>
    <row r="27" spans="12:13" x14ac:dyDescent="0.3">
      <c r="L27" s="1" t="s">
        <v>1</v>
      </c>
      <c r="M27" s="2" t="s">
        <v>11</v>
      </c>
    </row>
    <row r="28" spans="12:13" x14ac:dyDescent="0.3">
      <c r="L28" s="1" t="s">
        <v>19</v>
      </c>
      <c r="M28" s="2">
        <f>AVERAGE(D4:H4)</f>
        <v>170</v>
      </c>
    </row>
    <row r="31" spans="12:13" x14ac:dyDescent="0.3">
      <c r="L31" s="1" t="s">
        <v>0</v>
      </c>
      <c r="M31" s="2">
        <v>105</v>
      </c>
    </row>
    <row r="32" spans="12:13" x14ac:dyDescent="0.3">
      <c r="L32" s="1" t="s">
        <v>7</v>
      </c>
      <c r="M32" s="2">
        <f>INDEX(H3:H8,MATCH(M31,A3:A8,0))</f>
        <v>260</v>
      </c>
    </row>
    <row r="35" spans="12:12" x14ac:dyDescent="0.3">
      <c r="L35" s="3"/>
    </row>
  </sheetData>
  <mergeCells count="1">
    <mergeCell ref="A1:H1"/>
  </mergeCells>
  <dataValidations count="2">
    <dataValidation type="list" allowBlank="1" showInputMessage="1" showErrorMessage="1" sqref="P6" xr:uid="{6AA30B3D-9E8A-4899-91B4-476065C028EF}">
      <formula1>$B$3:$B$8</formula1>
    </dataValidation>
    <dataValidation type="list" allowBlank="1" showInputMessage="1" showErrorMessage="1" sqref="Q6" xr:uid="{BCF7EB8E-2EDD-4960-B170-BEE7698CBAEA}">
      <formula1>$D$2:$H$2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Mondal</dc:creator>
  <cp:lastModifiedBy>kumkum mondal</cp:lastModifiedBy>
  <dcterms:created xsi:type="dcterms:W3CDTF">2025-11-28T15:23:15Z</dcterms:created>
  <dcterms:modified xsi:type="dcterms:W3CDTF">2025-12-06T10:36:38Z</dcterms:modified>
</cp:coreProperties>
</file>